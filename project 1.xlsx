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tyaverma/Desktop/"/>
    </mc:Choice>
  </mc:AlternateContent>
  <xr:revisionPtr revIDLastSave="0" documentId="13_ncr:1_{3A13F1D9-C161-5646-9E15-16933048B00D}" xr6:coauthVersionLast="47" xr6:coauthVersionMax="47" xr10:uidLastSave="{00000000-0000-0000-0000-000000000000}"/>
  <bookViews>
    <workbookView xWindow="0" yWindow="660" windowWidth="29400" windowHeight="18460" activeTab="4" xr2:uid="{89247DE0-4984-5E4F-9A9A-6B3C79A68A90}"/>
  </bookViews>
  <sheets>
    <sheet name="TECHM" sheetId="1" r:id="rId1"/>
    <sheet name="TCS" sheetId="2" r:id="rId2"/>
    <sheet name="Wipro" sheetId="4" r:id="rId3"/>
    <sheet name="Infosys" sheetId="3" r:id="rId4"/>
    <sheet name="analysi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5" l="1"/>
  <c r="D6" i="5"/>
  <c r="C6" i="5"/>
  <c r="B6" i="5"/>
  <c r="E5" i="5"/>
  <c r="D5" i="5"/>
  <c r="C5" i="5"/>
  <c r="B5" i="5"/>
  <c r="E4" i="5"/>
  <c r="D4" i="5"/>
  <c r="C4" i="5"/>
  <c r="B4" i="5"/>
  <c r="F11" i="5"/>
  <c r="E3" i="5"/>
  <c r="D3" i="5"/>
  <c r="C3" i="5"/>
  <c r="B3" i="5"/>
  <c r="T9" i="3"/>
  <c r="T7" i="3"/>
  <c r="T5" i="3"/>
  <c r="T5" i="4"/>
  <c r="T9" i="4"/>
  <c r="T7" i="4"/>
  <c r="T10" i="2"/>
  <c r="T8" i="2"/>
  <c r="T6" i="2"/>
  <c r="U9" i="1"/>
  <c r="S5" i="3"/>
  <c r="S5" i="4"/>
  <c r="S6" i="2"/>
  <c r="T9" i="1"/>
  <c r="R5" i="3"/>
  <c r="R5" i="4"/>
  <c r="Q5" i="3"/>
  <c r="Q5" i="4"/>
  <c r="R9" i="1"/>
  <c r="R6" i="2"/>
  <c r="Q6" i="2"/>
  <c r="P5" i="4"/>
  <c r="U12" i="1"/>
  <c r="P6" i="3"/>
  <c r="P18" i="3"/>
  <c r="P17" i="3"/>
  <c r="P16" i="3"/>
  <c r="P15" i="3"/>
  <c r="P14" i="3"/>
  <c r="P13" i="3"/>
  <c r="P12" i="3"/>
  <c r="P11" i="3"/>
  <c r="P10" i="3"/>
  <c r="P9" i="3"/>
  <c r="P8" i="3"/>
  <c r="P7" i="3"/>
  <c r="P5" i="3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7" i="2"/>
  <c r="P19" i="2"/>
  <c r="P18" i="2"/>
  <c r="P17" i="2"/>
  <c r="P16" i="2"/>
  <c r="P15" i="2"/>
  <c r="P14" i="2"/>
  <c r="P13" i="2"/>
  <c r="P12" i="2"/>
  <c r="P11" i="2"/>
  <c r="P10" i="2"/>
  <c r="P9" i="2"/>
  <c r="P8" i="2"/>
  <c r="P6" i="2"/>
  <c r="U66" i="1"/>
  <c r="U48" i="1"/>
  <c r="U32" i="1"/>
  <c r="U30" i="1"/>
  <c r="T7" i="1"/>
  <c r="R77" i="1"/>
  <c r="R76" i="1"/>
  <c r="R75" i="1"/>
  <c r="R74" i="1"/>
  <c r="R73" i="1"/>
  <c r="R72" i="1"/>
  <c r="R71" i="1"/>
  <c r="R70" i="1"/>
  <c r="R69" i="1"/>
  <c r="R68" i="1"/>
  <c r="R67" i="1"/>
  <c r="R66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Q6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U7" i="1" l="1"/>
  <c r="U14" i="1"/>
  <c r="R7" i="1"/>
  <c r="T48" i="1"/>
  <c r="U11" i="1"/>
  <c r="U15" i="1"/>
  <c r="T30" i="1"/>
  <c r="S48" i="1"/>
  <c r="S66" i="1"/>
  <c r="T66" i="1"/>
  <c r="S32" i="1"/>
  <c r="T32" i="1"/>
  <c r="S30" i="1"/>
  <c r="S9" i="1"/>
  <c r="S7" i="1"/>
</calcChain>
</file>

<file path=xl/sharedStrings.xml><?xml version="1.0" encoding="utf-8"?>
<sst xmlns="http://schemas.openxmlformats.org/spreadsheetml/2006/main" count="371" uniqueCount="231">
  <si>
    <t>DATE</t>
  </si>
  <si>
    <t>SERIES</t>
  </si>
  <si>
    <t>OPEN</t>
  </si>
  <si>
    <t>HIGH</t>
  </si>
  <si>
    <t>LOW</t>
  </si>
  <si>
    <t>PREV. CLOSE</t>
  </si>
  <si>
    <t>LTP</t>
  </si>
  <si>
    <t>CLOSE</t>
  </si>
  <si>
    <t>VWAP</t>
  </si>
  <si>
    <t>52 WEEK HIGH</t>
  </si>
  <si>
    <t>52 WEEK LOW</t>
  </si>
  <si>
    <t>VOLUME</t>
  </si>
  <si>
    <t>VALUE</t>
  </si>
  <si>
    <t>NO. OF  TRADES</t>
  </si>
  <si>
    <t>EQ</t>
  </si>
  <si>
    <t>11,73,518</t>
  </si>
  <si>
    <t>1,87,45,70,781.10</t>
  </si>
  <si>
    <t>16,47,483</t>
  </si>
  <si>
    <t>2,63,63,09,499.20</t>
  </si>
  <si>
    <t>15,08,528</t>
  </si>
  <si>
    <t>2,43,88,97,122.60</t>
  </si>
  <si>
    <t>24,12,137</t>
  </si>
  <si>
    <t>3,94,87,81,374.30</t>
  </si>
  <si>
    <t>29,75,369</t>
  </si>
  <si>
    <t>4,82,98,94,367.30</t>
  </si>
  <si>
    <t>34,15,226</t>
  </si>
  <si>
    <t>5,57,05,51,817.60</t>
  </si>
  <si>
    <t>19,79,336</t>
  </si>
  <si>
    <t>3,14,48,64,224.20</t>
  </si>
  <si>
    <t>16,39,820</t>
  </si>
  <si>
    <t>2,59,01,21,633.80</t>
  </si>
  <si>
    <t>13,83,429</t>
  </si>
  <si>
    <t>2,17,97,61,125.50</t>
  </si>
  <si>
    <t>21,97,042</t>
  </si>
  <si>
    <t>3,48,76,26,491.10</t>
  </si>
  <si>
    <t>1,01,243</t>
  </si>
  <si>
    <t>#</t>
  </si>
  <si>
    <t>HISTORICAL DATA TECH MAHINDRA</t>
  </si>
  <si>
    <t>DAILY % RETURNS</t>
  </si>
  <si>
    <t>DATA FROM NSE</t>
  </si>
  <si>
    <t>Average of DR</t>
  </si>
  <si>
    <t>20,07,328</t>
  </si>
  <si>
    <t>3,09,85,74,254.10</t>
  </si>
  <si>
    <t>14,05,653</t>
  </si>
  <si>
    <t>2,14,51,15,219.70</t>
  </si>
  <si>
    <t>13,29,200</t>
  </si>
  <si>
    <t>2,00,46,99,140.80</t>
  </si>
  <si>
    <t>15,75,629</t>
  </si>
  <si>
    <t>2,44,77,37,503.10</t>
  </si>
  <si>
    <t>20,28,588</t>
  </si>
  <si>
    <t>3,16,19,05,917.50</t>
  </si>
  <si>
    <t>Cumulative Returns</t>
  </si>
  <si>
    <t>Standard Deviation</t>
  </si>
  <si>
    <t>Beta Coefficient</t>
  </si>
  <si>
    <t>HISTORICAL DATA NIFTY 50</t>
  </si>
  <si>
    <t>Date</t>
  </si>
  <si>
    <t>Expiry Date</t>
  </si>
  <si>
    <t>Open Price</t>
  </si>
  <si>
    <t>High Price</t>
  </si>
  <si>
    <t>Low Price</t>
  </si>
  <si>
    <t>Close Price</t>
  </si>
  <si>
    <t>Last Price</t>
  </si>
  <si>
    <t>Volume</t>
  </si>
  <si>
    <t>5,97,350</t>
  </si>
  <si>
    <t>32,84,450</t>
  </si>
  <si>
    <t>1,66,920</t>
  </si>
  <si>
    <t>4,87,240</t>
  </si>
  <si>
    <t>1,09,525</t>
  </si>
  <si>
    <t>17,37,775</t>
  </si>
  <si>
    <t>4,85,615</t>
  </si>
  <si>
    <t>35,97,425</t>
  </si>
  <si>
    <t>2,05,400</t>
  </si>
  <si>
    <t>4,51,425</t>
  </si>
  <si>
    <t>1,91,555</t>
  </si>
  <si>
    <t>21,75,290</t>
  </si>
  <si>
    <t>1,42,220</t>
  </si>
  <si>
    <t>23,02,235</t>
  </si>
  <si>
    <t>3,48,595</t>
  </si>
  <si>
    <t>1,54,440</t>
  </si>
  <si>
    <t>18,36,380</t>
  </si>
  <si>
    <t>2,30,100</t>
  </si>
  <si>
    <t>24,52,320</t>
  </si>
  <si>
    <t>35,81,500</t>
  </si>
  <si>
    <t>2,91,200</t>
  </si>
  <si>
    <t>1,50,345</t>
  </si>
  <si>
    <t>3,56,525</t>
  </si>
  <si>
    <t>37,16,115</t>
  </si>
  <si>
    <t>1,42,545</t>
  </si>
  <si>
    <t>2,65,655</t>
  </si>
  <si>
    <t>29,66,340</t>
  </si>
  <si>
    <t>2,97,960</t>
  </si>
  <si>
    <t>21,63,135</t>
  </si>
  <si>
    <t>1,87,395</t>
  </si>
  <si>
    <t>1,62,240</t>
  </si>
  <si>
    <t>25,58,335</t>
  </si>
  <si>
    <t>27,32,795</t>
  </si>
  <si>
    <t>1,72,770</t>
  </si>
  <si>
    <t>55,55,160</t>
  </si>
  <si>
    <t>4,63,385</t>
  </si>
  <si>
    <t>47,16,790</t>
  </si>
  <si>
    <t>42,23,375</t>
  </si>
  <si>
    <t>42,26,625</t>
  </si>
  <si>
    <t>2,51,160</t>
  </si>
  <si>
    <t xml:space="preserve">             Last Price</t>
  </si>
  <si>
    <t>sep</t>
  </si>
  <si>
    <t>oct</t>
  </si>
  <si>
    <t>nov</t>
  </si>
  <si>
    <t xml:space="preserve">                     Date</t>
  </si>
  <si>
    <t>26,34,124</t>
  </si>
  <si>
    <t>5,82,38,96,659.40</t>
  </si>
  <si>
    <t>1,02,069</t>
  </si>
  <si>
    <t>24,90,912</t>
  </si>
  <si>
    <t>5,49,31,46,435.50</t>
  </si>
  <si>
    <t>33,70,071</t>
  </si>
  <si>
    <t>7,43,91,43,444.60</t>
  </si>
  <si>
    <t>1,24,491</t>
  </si>
  <si>
    <t>21,48,114</t>
  </si>
  <si>
    <t>4,86,23,08,617.40</t>
  </si>
  <si>
    <t>22,97,551</t>
  </si>
  <si>
    <t>5,22,30,48,792.00</t>
  </si>
  <si>
    <t>25,64,322</t>
  </si>
  <si>
    <t>5,95,10,09,095.30</t>
  </si>
  <si>
    <t>1,12,846</t>
  </si>
  <si>
    <t>18,92,786</t>
  </si>
  <si>
    <t>4,41,47,10,140.10</t>
  </si>
  <si>
    <t>25,33,005</t>
  </si>
  <si>
    <t>5,92,28,81,120.10</t>
  </si>
  <si>
    <t>26,78,034</t>
  </si>
  <si>
    <t>6,30,44,99,313.40</t>
  </si>
  <si>
    <t>29,05,846</t>
  </si>
  <si>
    <t>6,84,45,16,701.50</t>
  </si>
  <si>
    <t>40,54,069</t>
  </si>
  <si>
    <t>9,43,77,54,087.90</t>
  </si>
  <si>
    <t>1,55,502</t>
  </si>
  <si>
    <t>17,09,113</t>
  </si>
  <si>
    <t>3,85,48,63,391.00</t>
  </si>
  <si>
    <t>1,31,520</t>
  </si>
  <si>
    <t>16,60,737</t>
  </si>
  <si>
    <t>3,78,21,46,389.70</t>
  </si>
  <si>
    <t>30,41,609</t>
  </si>
  <si>
    <t>6,94,46,64,134.30</t>
  </si>
  <si>
    <t>1,06,591</t>
  </si>
  <si>
    <t>15,42,723</t>
  </si>
  <si>
    <t>3,54,17,10,701.30</t>
  </si>
  <si>
    <t>61,68,088</t>
  </si>
  <si>
    <t>6,41,29,29,953.10</t>
  </si>
  <si>
    <t>1,45,206</t>
  </si>
  <si>
    <t>89,98,529</t>
  </si>
  <si>
    <t>9,31,42,45,718.70</t>
  </si>
  <si>
    <t>1,32,817</t>
  </si>
  <si>
    <t>1,35,30,457</t>
  </si>
  <si>
    <t>14,04,83,85,874.80</t>
  </si>
  <si>
    <t>2,48,758</t>
  </si>
  <si>
    <t>62,69,037</t>
  </si>
  <si>
    <t>6,79,74,33,881.60</t>
  </si>
  <si>
    <t>1,51,673</t>
  </si>
  <si>
    <t>76,68,346</t>
  </si>
  <si>
    <t>8,39,04,99,184.00</t>
  </si>
  <si>
    <t>1,95,551</t>
  </si>
  <si>
    <t>58,81,388</t>
  </si>
  <si>
    <t>6,65,82,77,427.90</t>
  </si>
  <si>
    <t>1,09,162</t>
  </si>
  <si>
    <t>57,86,250</t>
  </si>
  <si>
    <t>6,54,19,60,761.60</t>
  </si>
  <si>
    <t>1,72,536</t>
  </si>
  <si>
    <t>85,64,358</t>
  </si>
  <si>
    <t>9,72,05,00,603.10</t>
  </si>
  <si>
    <t>1,92,466</t>
  </si>
  <si>
    <t>1,35,16,123</t>
  </si>
  <si>
    <t>15,48,13,78,653.40</t>
  </si>
  <si>
    <t>1,63,276</t>
  </si>
  <si>
    <t>88,08,120</t>
  </si>
  <si>
    <t>9,90,93,13,175.80</t>
  </si>
  <si>
    <t>1,18,949</t>
  </si>
  <si>
    <t>96,21,969</t>
  </si>
  <si>
    <t>10,96,30,88,036.20</t>
  </si>
  <si>
    <t>1,47,819</t>
  </si>
  <si>
    <t>69,33,998</t>
  </si>
  <si>
    <t>7,71,41,83,978.30</t>
  </si>
  <si>
    <t>1,32,760</t>
  </si>
  <si>
    <t>63,23,984</t>
  </si>
  <si>
    <t>7,11,88,76,913.10</t>
  </si>
  <si>
    <t>81,21,237</t>
  </si>
  <si>
    <t>9,15,23,54,371.60</t>
  </si>
  <si>
    <t>1,30,691</t>
  </si>
  <si>
    <t>85,65,354</t>
  </si>
  <si>
    <t>9,70,59,45,957.70</t>
  </si>
  <si>
    <t>1,70,563</t>
  </si>
  <si>
    <t>84,84,897</t>
  </si>
  <si>
    <t>1,41,64,05,057.35</t>
  </si>
  <si>
    <t>95,86,645</t>
  </si>
  <si>
    <t>1,60,06,78,806.38</t>
  </si>
  <si>
    <t>1,20,01,620</t>
  </si>
  <si>
    <t>2,01,28,30,925.32</t>
  </si>
  <si>
    <t>1,17,652</t>
  </si>
  <si>
    <t>69,48,945</t>
  </si>
  <si>
    <t>1,19,33,26,130.04</t>
  </si>
  <si>
    <t>1,07,20,636</t>
  </si>
  <si>
    <t>1,86,13,27,806.30</t>
  </si>
  <si>
    <t>1,04,981</t>
  </si>
  <si>
    <t>68,82,678</t>
  </si>
  <si>
    <t>1,22,25,02,362.77</t>
  </si>
  <si>
    <t>64,96,396</t>
  </si>
  <si>
    <t>1,14,92,63,457.98</t>
  </si>
  <si>
    <t>1,20,56,634</t>
  </si>
  <si>
    <t>2,14,42,79,105.16</t>
  </si>
  <si>
    <t>1,01,352</t>
  </si>
  <si>
    <t>68,13,425</t>
  </si>
  <si>
    <t>1,23,33,78,820.04</t>
  </si>
  <si>
    <t>1,66,66,567</t>
  </si>
  <si>
    <t>3,01,35,41,281.24</t>
  </si>
  <si>
    <t>1,46,86,269</t>
  </si>
  <si>
    <t>2,64,76,12,449.73</t>
  </si>
  <si>
    <t>46,95,019</t>
  </si>
  <si>
    <t>83,26,39,252.33</t>
  </si>
  <si>
    <t>93,55,776</t>
  </si>
  <si>
    <t>1,66,78,99,694.74</t>
  </si>
  <si>
    <t>83,52,475</t>
  </si>
  <si>
    <t>1,50,06,60,143.63</t>
  </si>
  <si>
    <t>94,41,129</t>
  </si>
  <si>
    <t>1,71,79,16,986.71</t>
  </si>
  <si>
    <t>HISTORICAL DATA INFOSYS</t>
  </si>
  <si>
    <t>HISTORICAL DATA WIPRO</t>
  </si>
  <si>
    <t>HISTORICAL DATA TCS</t>
  </si>
  <si>
    <t>SEP</t>
  </si>
  <si>
    <t>OCT</t>
  </si>
  <si>
    <t>NOV</t>
  </si>
  <si>
    <t>TECH MAHINDRA</t>
  </si>
  <si>
    <t>TCS</t>
  </si>
  <si>
    <t>WIPRO</t>
  </si>
  <si>
    <t>INFOSYS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</si>
</sst>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%"/>
  </numFmts>
  <fonts count="2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4"/>
      <color theme="0"/>
      <name val="Aptos Narrow"/>
      <scheme val="minor"/>
    </font>
    <font>
      <b/>
      <sz val="16"/>
      <color theme="0"/>
      <name val="Aptos Narrow"/>
      <scheme val="minor"/>
    </font>
    <font>
      <b/>
      <sz val="11"/>
      <name val="Calibri"/>
      <family val="2"/>
    </font>
    <font>
      <i/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4"/>
      <color theme="1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15" fontId="0" fillId="0" borderId="0" xfId="0" applyNumberFormat="1"/>
    <xf numFmtId="4" fontId="0" fillId="0" borderId="0" xfId="0" applyNumberFormat="1"/>
    <xf numFmtId="3" fontId="0" fillId="0" borderId="0" xfId="0" applyNumberFormat="1"/>
    <xf numFmtId="0" fontId="17" fillId="33" borderId="0" xfId="0" applyFont="1" applyFill="1"/>
    <xf numFmtId="0" fontId="18" fillId="33" borderId="0" xfId="0" applyFont="1" applyFill="1"/>
    <xf numFmtId="0" fontId="19" fillId="33" borderId="0" xfId="0" applyFont="1" applyFill="1"/>
    <xf numFmtId="0" fontId="17" fillId="33" borderId="0" xfId="0" applyFont="1" applyFill="1" applyAlignment="1">
      <alignment vertical="top"/>
    </xf>
    <xf numFmtId="0" fontId="18" fillId="33" borderId="0" xfId="0" applyFont="1" applyFill="1" applyAlignment="1">
      <alignment vertical="top"/>
    </xf>
    <xf numFmtId="9" fontId="0" fillId="0" borderId="0" xfId="42" applyFont="1"/>
    <xf numFmtId="10" fontId="0" fillId="0" borderId="0" xfId="42" applyNumberFormat="1" applyFont="1"/>
    <xf numFmtId="0" fontId="17" fillId="34" borderId="0" xfId="0" applyFont="1" applyFill="1"/>
    <xf numFmtId="0" fontId="0" fillId="33" borderId="0" xfId="0" applyFill="1"/>
    <xf numFmtId="0" fontId="20" fillId="34" borderId="0" xfId="0" applyFont="1" applyFill="1"/>
    <xf numFmtId="0" fontId="0" fillId="34" borderId="0" xfId="0" applyFill="1"/>
    <xf numFmtId="4" fontId="20" fillId="34" borderId="0" xfId="0" applyNumberFormat="1" applyFont="1" applyFill="1"/>
    <xf numFmtId="10" fontId="0" fillId="0" borderId="0" xfId="42" applyNumberFormat="1" applyFont="1" applyBorder="1"/>
    <xf numFmtId="0" fontId="0" fillId="0" borderId="10" xfId="0" applyBorder="1"/>
    <xf numFmtId="3" fontId="0" fillId="0" borderId="10" xfId="0" applyNumberFormat="1" applyBorder="1"/>
    <xf numFmtId="10" fontId="0" fillId="0" borderId="10" xfId="42" applyNumberFormat="1" applyFont="1" applyBorder="1"/>
    <xf numFmtId="4" fontId="0" fillId="0" borderId="10" xfId="0" applyNumberFormat="1" applyBorder="1"/>
    <xf numFmtId="15" fontId="0" fillId="0" borderId="10" xfId="0" applyNumberFormat="1" applyBorder="1"/>
    <xf numFmtId="0" fontId="21" fillId="34" borderId="0" xfId="0" applyFont="1" applyFill="1"/>
    <xf numFmtId="4" fontId="21" fillId="35" borderId="0" xfId="0" applyNumberFormat="1" applyFont="1" applyFill="1"/>
    <xf numFmtId="10" fontId="21" fillId="35" borderId="0" xfId="42" applyNumberFormat="1" applyFont="1" applyFill="1"/>
    <xf numFmtId="164" fontId="21" fillId="35" borderId="0" xfId="42" applyNumberFormat="1" applyFont="1" applyFill="1"/>
    <xf numFmtId="164" fontId="21" fillId="35" borderId="0" xfId="0" applyNumberFormat="1" applyFont="1" applyFill="1"/>
    <xf numFmtId="0" fontId="21" fillId="35" borderId="0" xfId="0" applyFont="1" applyFill="1"/>
    <xf numFmtId="165" fontId="21" fillId="35" borderId="0" xfId="0" applyNumberFormat="1" applyFont="1" applyFill="1"/>
    <xf numFmtId="165" fontId="21" fillId="35" borderId="0" xfId="42" applyNumberFormat="1" applyFont="1" applyFill="1"/>
    <xf numFmtId="10" fontId="21" fillId="34" borderId="0" xfId="42" applyNumberFormat="1" applyFont="1" applyFill="1"/>
    <xf numFmtId="0" fontId="18" fillId="34" borderId="0" xfId="0" applyFont="1" applyFill="1"/>
    <xf numFmtId="10" fontId="21" fillId="35" borderId="0" xfId="0" applyNumberFormat="1" applyFont="1" applyFill="1"/>
    <xf numFmtId="0" fontId="22" fillId="33" borderId="0" xfId="0" applyFont="1" applyFill="1"/>
    <xf numFmtId="0" fontId="23" fillId="33" borderId="0" xfId="0" applyFont="1" applyFill="1"/>
    <xf numFmtId="0" fontId="24" fillId="0" borderId="0" xfId="0" applyFont="1"/>
    <xf numFmtId="10" fontId="0" fillId="0" borderId="0" xfId="0" applyNumberFormat="1"/>
    <xf numFmtId="2" fontId="0" fillId="0" borderId="0" xfId="42" applyNumberFormat="1" applyFont="1"/>
    <xf numFmtId="2" fontId="0" fillId="0" borderId="0" xfId="0" applyNumberFormat="1"/>
    <xf numFmtId="0" fontId="21" fillId="35" borderId="0" xfId="42" applyNumberFormat="1" applyFont="1" applyFill="1"/>
    <xf numFmtId="0" fontId="21" fillId="35" borderId="0" xfId="0" applyNumberFormat="1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CHART DAILY</a:t>
            </a:r>
            <a:r>
              <a:rPr lang="en-US" b="1" i="1" baseline="0"/>
              <a:t> RETURN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TECHM!$B$5:$B$19</c:f>
              <c:numCache>
                <c:formatCode>d\-mmm\-yy</c:formatCode>
                <c:ptCount val="15"/>
                <c:pt idx="0">
                  <c:v>46276</c:v>
                </c:pt>
                <c:pt idx="1">
                  <c:v>46275</c:v>
                </c:pt>
                <c:pt idx="2">
                  <c:v>46274</c:v>
                </c:pt>
                <c:pt idx="3">
                  <c:v>46273</c:v>
                </c:pt>
                <c:pt idx="4">
                  <c:v>46272</c:v>
                </c:pt>
                <c:pt idx="5">
                  <c:v>46269</c:v>
                </c:pt>
                <c:pt idx="6">
                  <c:v>46268</c:v>
                </c:pt>
                <c:pt idx="7">
                  <c:v>46267</c:v>
                </c:pt>
                <c:pt idx="8">
                  <c:v>46266</c:v>
                </c:pt>
                <c:pt idx="9">
                  <c:v>46265</c:v>
                </c:pt>
                <c:pt idx="10">
                  <c:v>46262</c:v>
                </c:pt>
                <c:pt idx="11">
                  <c:v>46261</c:v>
                </c:pt>
                <c:pt idx="12">
                  <c:v>46260</c:v>
                </c:pt>
                <c:pt idx="13">
                  <c:v>46259</c:v>
                </c:pt>
                <c:pt idx="14">
                  <c:v>46258</c:v>
                </c:pt>
              </c:numCache>
            </c:numRef>
          </c:cat>
          <c:val>
            <c:numRef>
              <c:f>TECHM!$Q$5:$Q$19</c:f>
              <c:numCache>
                <c:formatCode>0.00%</c:formatCode>
                <c:ptCount val="15"/>
                <c:pt idx="0" formatCode="General">
                  <c:v>0</c:v>
                </c:pt>
                <c:pt idx="1">
                  <c:v>-9.8637248539908962E-3</c:v>
                </c:pt>
                <c:pt idx="2">
                  <c:v>-1.166601127277489E-2</c:v>
                </c:pt>
                <c:pt idx="3">
                  <c:v>3.3819628647214772E-2</c:v>
                </c:pt>
                <c:pt idx="4">
                  <c:v>3.207184092366866E-3</c:v>
                </c:pt>
                <c:pt idx="5">
                  <c:v>2.1035805626598458E-2</c:v>
                </c:pt>
                <c:pt idx="6">
                  <c:v>6.8883461707058835E-4</c:v>
                </c:pt>
                <c:pt idx="7">
                  <c:v>1.5644555694618312E-2</c:v>
                </c:pt>
                <c:pt idx="8">
                  <c:v>9.2421441774490631E-3</c:v>
                </c:pt>
                <c:pt idx="9">
                  <c:v>-6.1050061050060833E-3</c:v>
                </c:pt>
                <c:pt idx="10">
                  <c:v>7.9238329238329186E-3</c:v>
                </c:pt>
                <c:pt idx="11">
                  <c:v>-3.4066670729477777E-2</c:v>
                </c:pt>
                <c:pt idx="12">
                  <c:v>-8.8328075709779297E-3</c:v>
                </c:pt>
                <c:pt idx="13">
                  <c:v>1.839592616168062E-2</c:v>
                </c:pt>
                <c:pt idx="14">
                  <c:v>-9.9381211325708652E-3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F7-5241-A3B9-CF28FB5BB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5207871"/>
        <c:axId val="1675199359"/>
      </c:lineChart>
      <c:dateAx>
        <c:axId val="1675207871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199359"/>
        <c:crosses val="autoZero"/>
        <c:auto val="1"/>
        <c:lblOffset val="100"/>
        <c:baseTimeUnit val="days"/>
      </c:dateAx>
      <c:valAx>
        <c:axId val="167519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20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CHART DAILY RETURN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TCS!$A$5:$A$19</c:f>
              <c:numCache>
                <c:formatCode>d\-mmm\-yy</c:formatCode>
                <c:ptCount val="15"/>
                <c:pt idx="0">
                  <c:v>46276</c:v>
                </c:pt>
                <c:pt idx="1">
                  <c:v>46275</c:v>
                </c:pt>
                <c:pt idx="2">
                  <c:v>46274</c:v>
                </c:pt>
                <c:pt idx="3">
                  <c:v>46273</c:v>
                </c:pt>
                <c:pt idx="4">
                  <c:v>46272</c:v>
                </c:pt>
                <c:pt idx="5">
                  <c:v>46269</c:v>
                </c:pt>
                <c:pt idx="6">
                  <c:v>46268</c:v>
                </c:pt>
                <c:pt idx="7">
                  <c:v>46267</c:v>
                </c:pt>
                <c:pt idx="8">
                  <c:v>46266</c:v>
                </c:pt>
                <c:pt idx="9">
                  <c:v>46265</c:v>
                </c:pt>
                <c:pt idx="10">
                  <c:v>46262</c:v>
                </c:pt>
                <c:pt idx="11">
                  <c:v>46261</c:v>
                </c:pt>
                <c:pt idx="12">
                  <c:v>46260</c:v>
                </c:pt>
                <c:pt idx="13">
                  <c:v>46259</c:v>
                </c:pt>
                <c:pt idx="14">
                  <c:v>46258</c:v>
                </c:pt>
              </c:numCache>
            </c:numRef>
          </c:cat>
          <c:val>
            <c:numRef>
              <c:f>TCS!$P$5:$P$19</c:f>
              <c:numCache>
                <c:formatCode>0.00%</c:formatCode>
                <c:ptCount val="15"/>
                <c:pt idx="0" formatCode="General">
                  <c:v>0</c:v>
                </c:pt>
                <c:pt idx="1">
                  <c:v>1.4994547437294781E-3</c:v>
                </c:pt>
                <c:pt idx="2">
                  <c:v>1.7694296991970226E-3</c:v>
                </c:pt>
                <c:pt idx="3">
                  <c:v>2.1512681159420399E-2</c:v>
                </c:pt>
                <c:pt idx="4">
                  <c:v>6.4287297716691949E-3</c:v>
                </c:pt>
                <c:pt idx="5">
                  <c:v>1.497797356828201E-2</c:v>
                </c:pt>
                <c:pt idx="6">
                  <c:v>6.9878472222222321E-3</c:v>
                </c:pt>
                <c:pt idx="7">
                  <c:v>1.2025343735183824E-2</c:v>
                </c:pt>
                <c:pt idx="8">
                  <c:v>8.9437819420783438E-3</c:v>
                </c:pt>
                <c:pt idx="9">
                  <c:v>1.2790206838328544E-2</c:v>
                </c:pt>
                <c:pt idx="10">
                  <c:v>-2.3881965573292252E-2</c:v>
                </c:pt>
                <c:pt idx="11">
                  <c:v>-3.9965841161400451E-2</c:v>
                </c:pt>
                <c:pt idx="12">
                  <c:v>9.6068315246398139E-3</c:v>
                </c:pt>
                <c:pt idx="13">
                  <c:v>1.1541850220264216E-2</c:v>
                </c:pt>
                <c:pt idx="14">
                  <c:v>-5.2695758209214683E-3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A5-FB47-A0C5-1B03F8638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9870592"/>
        <c:axId val="1645736192"/>
      </c:lineChart>
      <c:dateAx>
        <c:axId val="1649870592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736192"/>
        <c:crosses val="autoZero"/>
        <c:auto val="1"/>
        <c:lblOffset val="100"/>
        <c:baseTimeUnit val="days"/>
      </c:dateAx>
      <c:valAx>
        <c:axId val="164573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87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CHART DAILY RETURN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Wipro!$A$4:$A$18</c:f>
              <c:numCache>
                <c:formatCode>d\-mmm\-yy</c:formatCode>
                <c:ptCount val="15"/>
                <c:pt idx="0">
                  <c:v>46276</c:v>
                </c:pt>
                <c:pt idx="1">
                  <c:v>46275</c:v>
                </c:pt>
                <c:pt idx="2">
                  <c:v>46274</c:v>
                </c:pt>
                <c:pt idx="3">
                  <c:v>46273</c:v>
                </c:pt>
                <c:pt idx="4">
                  <c:v>46272</c:v>
                </c:pt>
                <c:pt idx="5">
                  <c:v>46269</c:v>
                </c:pt>
                <c:pt idx="6">
                  <c:v>46268</c:v>
                </c:pt>
                <c:pt idx="7">
                  <c:v>46267</c:v>
                </c:pt>
                <c:pt idx="8">
                  <c:v>46266</c:v>
                </c:pt>
                <c:pt idx="9">
                  <c:v>46265</c:v>
                </c:pt>
                <c:pt idx="10">
                  <c:v>46262</c:v>
                </c:pt>
                <c:pt idx="11">
                  <c:v>46261</c:v>
                </c:pt>
                <c:pt idx="12">
                  <c:v>46260</c:v>
                </c:pt>
                <c:pt idx="13">
                  <c:v>46259</c:v>
                </c:pt>
                <c:pt idx="14">
                  <c:v>46258</c:v>
                </c:pt>
              </c:numCache>
            </c:numRef>
          </c:cat>
          <c:val>
            <c:numRef>
              <c:f>Wipro!$P$4:$P$18</c:f>
              <c:numCache>
                <c:formatCode>0.00%</c:formatCode>
                <c:ptCount val="15"/>
                <c:pt idx="0" formatCode="General">
                  <c:v>0</c:v>
                </c:pt>
                <c:pt idx="1">
                  <c:v>-6.5710872162484391E-3</c:v>
                </c:pt>
                <c:pt idx="2">
                  <c:v>4.2092603728201006E-3</c:v>
                </c:pt>
                <c:pt idx="3">
                  <c:v>2.6946107784431073E-2</c:v>
                </c:pt>
                <c:pt idx="4">
                  <c:v>7.5801749271138252E-3</c:v>
                </c:pt>
                <c:pt idx="5">
                  <c:v>2.0833333333333259E-2</c:v>
                </c:pt>
                <c:pt idx="6">
                  <c:v>-3.8548752834467459E-3</c:v>
                </c:pt>
                <c:pt idx="7">
                  <c:v>7.7964944229456101E-3</c:v>
                </c:pt>
                <c:pt idx="8">
                  <c:v>2.6031961149697747E-2</c:v>
                </c:pt>
                <c:pt idx="9">
                  <c:v>1.5410016510732039E-2</c:v>
                </c:pt>
                <c:pt idx="10">
                  <c:v>-1.9241192411924235E-2</c:v>
                </c:pt>
                <c:pt idx="11">
                  <c:v>-2.5145067698259083E-2</c:v>
                </c:pt>
                <c:pt idx="12">
                  <c:v>5.3854875283445569E-3</c:v>
                </c:pt>
                <c:pt idx="13">
                  <c:v>1.5449675782351235E-2</c:v>
                </c:pt>
                <c:pt idx="14">
                  <c:v>6.7743905824866335E-3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0F-DB48-BA83-0448F3D58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9264256"/>
        <c:axId val="1645726336"/>
      </c:lineChart>
      <c:dateAx>
        <c:axId val="799264256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726336"/>
        <c:crosses val="autoZero"/>
        <c:auto val="1"/>
        <c:lblOffset val="100"/>
        <c:baseTimeUnit val="days"/>
      </c:dateAx>
      <c:valAx>
        <c:axId val="164572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264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CHART DAILY RETURN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Infosys!$A$4:$A$18</c:f>
              <c:numCache>
                <c:formatCode>d\-mmm\-yy</c:formatCode>
                <c:ptCount val="15"/>
                <c:pt idx="0">
                  <c:v>46276</c:v>
                </c:pt>
                <c:pt idx="1">
                  <c:v>46275</c:v>
                </c:pt>
                <c:pt idx="2">
                  <c:v>46274</c:v>
                </c:pt>
                <c:pt idx="3">
                  <c:v>46273</c:v>
                </c:pt>
                <c:pt idx="4">
                  <c:v>46272</c:v>
                </c:pt>
                <c:pt idx="5">
                  <c:v>46269</c:v>
                </c:pt>
                <c:pt idx="6">
                  <c:v>46268</c:v>
                </c:pt>
                <c:pt idx="7">
                  <c:v>46267</c:v>
                </c:pt>
                <c:pt idx="8">
                  <c:v>46266</c:v>
                </c:pt>
                <c:pt idx="9">
                  <c:v>46265</c:v>
                </c:pt>
                <c:pt idx="10">
                  <c:v>46262</c:v>
                </c:pt>
                <c:pt idx="11">
                  <c:v>46261</c:v>
                </c:pt>
                <c:pt idx="12">
                  <c:v>46260</c:v>
                </c:pt>
                <c:pt idx="13">
                  <c:v>46259</c:v>
                </c:pt>
                <c:pt idx="14">
                  <c:v>46258</c:v>
                </c:pt>
              </c:numCache>
            </c:numRef>
          </c:cat>
          <c:val>
            <c:numRef>
              <c:f>Infosys!$P$4:$P$18</c:f>
              <c:numCache>
                <c:formatCode>0.00%</c:formatCode>
                <c:ptCount val="15"/>
                <c:pt idx="0" formatCode="General">
                  <c:v>0</c:v>
                </c:pt>
                <c:pt idx="1">
                  <c:v>-1.15640358485114E-3</c:v>
                </c:pt>
                <c:pt idx="2">
                  <c:v>-1.4471780028944004E-3</c:v>
                </c:pt>
                <c:pt idx="3">
                  <c:v>4.5410628019323607E-2</c:v>
                </c:pt>
                <c:pt idx="4">
                  <c:v>5.0831792975969403E-3</c:v>
                </c:pt>
                <c:pt idx="5">
                  <c:v>3.9080459770114873E-2</c:v>
                </c:pt>
                <c:pt idx="6">
                  <c:v>2.6548672566373277E-4</c:v>
                </c:pt>
                <c:pt idx="7">
                  <c:v>8.5817924444837601E-3</c:v>
                </c:pt>
                <c:pt idx="8">
                  <c:v>1.4035087719298289E-2</c:v>
                </c:pt>
                <c:pt idx="9">
                  <c:v>-1.9204152249134965E-2</c:v>
                </c:pt>
                <c:pt idx="10">
                  <c:v>8.9962956429705532E-3</c:v>
                </c:pt>
                <c:pt idx="11">
                  <c:v>-2.902097902097911E-2</c:v>
                </c:pt>
                <c:pt idx="12">
                  <c:v>8.2823190493339638E-3</c:v>
                </c:pt>
                <c:pt idx="13">
                  <c:v>2.1428571428571352E-2</c:v>
                </c:pt>
                <c:pt idx="14">
                  <c:v>-1.2237762237762184E-2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6A-D545-9B67-9C4A2C334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1041024"/>
        <c:axId val="803652928"/>
      </c:lineChart>
      <c:dateAx>
        <c:axId val="1741041024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652928"/>
        <c:crosses val="autoZero"/>
        <c:auto val="1"/>
        <c:lblOffset val="100"/>
        <c:baseTimeUnit val="days"/>
      </c:dateAx>
      <c:valAx>
        <c:axId val="80365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04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Risk</a:t>
            </a:r>
            <a:r>
              <a:rPr lang="en-US" b="1" i="1" baseline="0"/>
              <a:t> and Return Analysis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analysis!$B$1:$B$2</c:f>
              <c:strCache>
                <c:ptCount val="2"/>
                <c:pt idx="1">
                  <c:v>Standard Deviation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analysis!$A$3:$A$6</c:f>
              <c:strCache>
                <c:ptCount val="4"/>
                <c:pt idx="0">
                  <c:v>TECH MAHINDRA</c:v>
                </c:pt>
                <c:pt idx="1">
                  <c:v>TCS</c:v>
                </c:pt>
                <c:pt idx="2">
                  <c:v>WIPRO</c:v>
                </c:pt>
                <c:pt idx="3">
                  <c:v>INFOSYS</c:v>
                </c:pt>
              </c:strCache>
            </c:strRef>
          </c:cat>
          <c:val>
            <c:numRef>
              <c:f>analysis!$B$3:$B$6</c:f>
              <c:numCache>
                <c:formatCode>0.00%</c:formatCode>
                <c:ptCount val="4"/>
                <c:pt idx="0">
                  <c:v>1.6644223282096058E-2</c:v>
                </c:pt>
                <c:pt idx="1">
                  <c:v>1.6369050288233721E-2</c:v>
                </c:pt>
                <c:pt idx="2">
                  <c:v>1.5466275646399793E-2</c:v>
                </c:pt>
                <c:pt idx="3">
                  <c:v>2.0199971705216653E-2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05-1541-A0AF-C9DDA9F057C5}"/>
            </c:ext>
          </c:extLst>
        </c:ser>
        <c:ser>
          <c:idx val="1"/>
          <c:order val="1"/>
          <c:tx>
            <c:strRef>
              <c:f>analysis!$C$1:$C$2</c:f>
              <c:strCache>
                <c:ptCount val="2"/>
                <c:pt idx="1">
                  <c:v>Average of DR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analysis!$A$3:$A$6</c:f>
              <c:strCache>
                <c:ptCount val="4"/>
                <c:pt idx="0">
                  <c:v>TECH MAHINDRA</c:v>
                </c:pt>
                <c:pt idx="1">
                  <c:v>TCS</c:v>
                </c:pt>
                <c:pt idx="2">
                  <c:v>WIPRO</c:v>
                </c:pt>
                <c:pt idx="3">
                  <c:v>INFOSYS</c:v>
                </c:pt>
              </c:strCache>
            </c:strRef>
          </c:cat>
          <c:val>
            <c:numRef>
              <c:f>analysis!$C$3:$C$6</c:f>
              <c:numCache>
                <c:formatCode>0.00%</c:formatCode>
                <c:ptCount val="4"/>
                <c:pt idx="0">
                  <c:v>1.965704685068877E-3</c:v>
                </c:pt>
                <c:pt idx="1">
                  <c:v>2.7833391335286362E-3</c:v>
                </c:pt>
                <c:pt idx="2">
                  <c:v>5.8289056988841126E-3</c:v>
                </c:pt>
                <c:pt idx="3">
                  <c:v>6.2926675001239484E-3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05-1541-A0AF-C9DDA9F057C5}"/>
            </c:ext>
          </c:extLst>
        </c:ser>
        <c:ser>
          <c:idx val="2"/>
          <c:order val="2"/>
          <c:tx>
            <c:strRef>
              <c:f>analysis!$D$1:$D$2</c:f>
              <c:strCache>
                <c:ptCount val="2"/>
                <c:pt idx="1">
                  <c:v>Cumulative Returns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analysis!$A$3:$A$6</c:f>
              <c:strCache>
                <c:ptCount val="4"/>
                <c:pt idx="0">
                  <c:v>TECH MAHINDRA</c:v>
                </c:pt>
                <c:pt idx="1">
                  <c:v>TCS</c:v>
                </c:pt>
                <c:pt idx="2">
                  <c:v>WIPRO</c:v>
                </c:pt>
                <c:pt idx="3">
                  <c:v>INFOSYS</c:v>
                </c:pt>
              </c:strCache>
            </c:strRef>
          </c:cat>
          <c:val>
            <c:numRef>
              <c:f>analysis!$D$3:$D$6</c:f>
              <c:numCache>
                <c:formatCode>0.00%</c:formatCode>
                <c:ptCount val="4"/>
                <c:pt idx="0">
                  <c:v>2.7903958468526932E-2</c:v>
                </c:pt>
                <c:pt idx="1">
                  <c:v>3.7849872773536769E-2</c:v>
                </c:pt>
                <c:pt idx="2">
                  <c:v>8.3094384707287916E-2</c:v>
                </c:pt>
                <c:pt idx="3">
                  <c:v>8.8946709068131402E-2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05-1541-A0AF-C9DDA9F057C5}"/>
            </c:ext>
          </c:extLst>
        </c:ser>
        <c:ser>
          <c:idx val="3"/>
          <c:order val="3"/>
          <c:tx>
            <c:strRef>
              <c:f>analysis!$E$1:$E$2</c:f>
              <c:strCache>
                <c:ptCount val="2"/>
                <c:pt idx="1">
                  <c:v>Beta Coefficient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analysis!$A$3:$A$6</c:f>
              <c:strCache>
                <c:ptCount val="4"/>
                <c:pt idx="0">
                  <c:v>TECH MAHINDRA</c:v>
                </c:pt>
                <c:pt idx="1">
                  <c:v>TCS</c:v>
                </c:pt>
                <c:pt idx="2">
                  <c:v>WIPRO</c:v>
                </c:pt>
                <c:pt idx="3">
                  <c:v>INFOSYS</c:v>
                </c:pt>
              </c:strCache>
            </c:strRef>
          </c:cat>
          <c:val>
            <c:numRef>
              <c:f>analysis!$E$3:$E$6</c:f>
              <c:numCache>
                <c:formatCode>0.00</c:formatCode>
                <c:ptCount val="4"/>
                <c:pt idx="0">
                  <c:v>-0.81398851583841347</c:v>
                </c:pt>
                <c:pt idx="1">
                  <c:v>0.57311926537789837</c:v>
                </c:pt>
                <c:pt idx="2">
                  <c:v>0.12673388877636507</c:v>
                </c:pt>
                <c:pt idx="3">
                  <c:v>0.61173236349654159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05-1541-A0AF-C9DDA9F05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9575232"/>
        <c:axId val="799272320"/>
      </c:lineChart>
      <c:catAx>
        <c:axId val="164957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272320"/>
        <c:crosses val="autoZero"/>
        <c:auto val="1"/>
        <c:lblAlgn val="ctr"/>
        <c:lblOffset val="100"/>
        <c:noMultiLvlLbl val="0"/>
      </c:catAx>
      <c:valAx>
        <c:axId val="79927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57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259462</xdr:colOff>
      <xdr:row>4</xdr:row>
      <xdr:rowOff>14475</xdr:rowOff>
    </xdr:from>
    <xdr:to>
      <xdr:col>33</xdr:col>
      <xdr:colOff>27312</xdr:colOff>
      <xdr:row>30</xdr:row>
      <xdr:rowOff>109247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91BE89-64FC-72AE-14A9-B73E94B672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21</xdr:row>
      <xdr:rowOff>31750</xdr:rowOff>
    </xdr:from>
    <xdr:to>
      <xdr:col>12</xdr:col>
      <xdr:colOff>723900</xdr:colOff>
      <xdr:row>40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7D1E79-3875-8AF7-CFAD-A3F8472324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22</xdr:row>
      <xdr:rowOff>133350</xdr:rowOff>
    </xdr:from>
    <xdr:to>
      <xdr:col>13</xdr:col>
      <xdr:colOff>165100</xdr:colOff>
      <xdr:row>44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10F9F5-C180-4D55-51F2-6B39C294A5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755650</xdr:colOff>
      <xdr:row>20</xdr:row>
      <xdr:rowOff>146050</xdr:rowOff>
    </xdr:from>
    <xdr:to>
      <xdr:col>12</xdr:col>
      <xdr:colOff>50800</xdr:colOff>
      <xdr:row>40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92CE61-18EF-164E-62A3-8486FE9A54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787400</xdr:colOff>
      <xdr:row>8</xdr:row>
      <xdr:rowOff>177800</xdr:rowOff>
    </xdr:from>
    <xdr:to>
      <xdr:col>10</xdr:col>
      <xdr:colOff>12700</xdr:colOff>
      <xdr:row>39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AA01C2-1E4F-B570-5E56-031B98E25D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07560-ACFD-E848-B77A-C9E660193509}">
  <dimension ref="A1:X253"/>
  <sheetViews>
    <sheetView showGridLines="0" zoomScale="75" zoomScaleNormal="93" workbookViewId="0">
      <selection activeCell="Y39" sqref="Y39"/>
    </sheetView>
  </sheetViews>
  <sheetFormatPr baseColWidth="10" defaultRowHeight="16" outlineLevelRow="1" x14ac:dyDescent="0.2"/>
  <cols>
    <col min="1" max="1" width="2.33203125" customWidth="1"/>
    <col min="3" max="3" width="12" bestFit="1" customWidth="1"/>
    <col min="4" max="4" width="12.83203125" bestFit="1" customWidth="1"/>
    <col min="5" max="5" width="12.6640625" bestFit="1" customWidth="1"/>
    <col min="6" max="6" width="15" customWidth="1"/>
    <col min="7" max="7" width="14" bestFit="1" customWidth="1"/>
    <col min="8" max="8" width="11.33203125" customWidth="1"/>
    <col min="9" max="9" width="12.33203125" bestFit="1" customWidth="1"/>
    <col min="10" max="10" width="9.83203125" bestFit="1" customWidth="1"/>
    <col min="11" max="11" width="17.5" bestFit="1" customWidth="1"/>
    <col min="12" max="12" width="14.83203125" bestFit="1" customWidth="1"/>
    <col min="13" max="13" width="11.83203125" bestFit="1" customWidth="1"/>
    <col min="14" max="15" width="16.83203125" bestFit="1" customWidth="1"/>
    <col min="16" max="16" width="12.33203125" bestFit="1" customWidth="1"/>
    <col min="17" max="17" width="19" bestFit="1" customWidth="1"/>
    <col min="18" max="18" width="19.6640625" bestFit="1" customWidth="1"/>
    <col min="19" max="19" width="14.5" bestFit="1" customWidth="1"/>
    <col min="20" max="21" width="20.5" bestFit="1" customWidth="1"/>
    <col min="22" max="22" width="16.83203125" bestFit="1" customWidth="1"/>
  </cols>
  <sheetData>
    <row r="1" spans="1:22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12"/>
      <c r="U1" s="12"/>
      <c r="V1" s="4" t="s">
        <v>39</v>
      </c>
    </row>
    <row r="2" spans="1:22" ht="19" x14ac:dyDescent="0.2">
      <c r="A2" s="4"/>
      <c r="B2" s="4"/>
      <c r="C2" s="4"/>
      <c r="D2" s="4"/>
      <c r="E2" s="4"/>
      <c r="F2" s="8" t="s">
        <v>37</v>
      </c>
      <c r="G2" s="7"/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12"/>
      <c r="U2" s="12"/>
      <c r="V2" s="12"/>
    </row>
    <row r="3" spans="1:22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12"/>
      <c r="U3" s="12"/>
      <c r="V3" s="12"/>
    </row>
    <row r="4" spans="1:22" ht="22" outlineLevel="1" x14ac:dyDescent="0.3">
      <c r="A4" s="6" t="s">
        <v>36</v>
      </c>
      <c r="B4" s="5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5" t="s">
        <v>7</v>
      </c>
      <c r="J4" s="5" t="s">
        <v>8</v>
      </c>
      <c r="K4" s="5" t="s">
        <v>9</v>
      </c>
      <c r="L4" s="5" t="s">
        <v>10</v>
      </c>
      <c r="M4" s="5" t="s">
        <v>11</v>
      </c>
      <c r="N4" s="5" t="s">
        <v>12</v>
      </c>
      <c r="O4" s="5" t="s">
        <v>13</v>
      </c>
      <c r="P4" s="4"/>
      <c r="Q4" s="5" t="s">
        <v>38</v>
      </c>
      <c r="R4" s="5" t="s">
        <v>52</v>
      </c>
      <c r="S4" s="5" t="s">
        <v>40</v>
      </c>
      <c r="T4" s="5" t="s">
        <v>51</v>
      </c>
      <c r="U4" s="5" t="s">
        <v>53</v>
      </c>
      <c r="V4" s="12"/>
    </row>
    <row r="5" spans="1:22" outlineLevel="1" x14ac:dyDescent="0.2">
      <c r="B5" s="1">
        <v>46276</v>
      </c>
      <c r="C5" t="s">
        <v>14</v>
      </c>
      <c r="D5" s="2">
        <v>1519.3</v>
      </c>
      <c r="E5" s="2">
        <v>1557.3</v>
      </c>
      <c r="F5" s="2">
        <v>1518.6</v>
      </c>
      <c r="G5" s="2">
        <v>1525.8</v>
      </c>
      <c r="H5" s="2">
        <v>1541</v>
      </c>
      <c r="I5" s="2">
        <v>1541</v>
      </c>
      <c r="J5" s="2">
        <v>1543.63</v>
      </c>
      <c r="K5" s="2">
        <v>1854</v>
      </c>
      <c r="L5" s="2">
        <v>1304.0999999999999</v>
      </c>
      <c r="M5" t="s">
        <v>41</v>
      </c>
      <c r="N5" t="s">
        <v>42</v>
      </c>
      <c r="O5" s="3">
        <v>68622</v>
      </c>
      <c r="Q5" s="27">
        <v>0</v>
      </c>
    </row>
    <row r="6" spans="1:22" outlineLevel="1" x14ac:dyDescent="0.2">
      <c r="B6" s="1">
        <v>46275</v>
      </c>
      <c r="C6" t="s">
        <v>14</v>
      </c>
      <c r="D6" s="2">
        <v>1511.9</v>
      </c>
      <c r="E6" s="2">
        <v>1544.7</v>
      </c>
      <c r="F6" s="2">
        <v>1498.1</v>
      </c>
      <c r="G6" s="2">
        <v>1508</v>
      </c>
      <c r="H6" s="2">
        <v>1525.8</v>
      </c>
      <c r="I6" s="2">
        <v>1525.8</v>
      </c>
      <c r="J6" s="2">
        <v>1526.06</v>
      </c>
      <c r="K6" s="2">
        <v>1854</v>
      </c>
      <c r="L6" s="2">
        <v>1304.0999999999999</v>
      </c>
      <c r="M6" t="s">
        <v>43</v>
      </c>
      <c r="N6" t="s">
        <v>44</v>
      </c>
      <c r="O6" s="3">
        <v>50917</v>
      </c>
      <c r="Q6" s="24">
        <f>(I6/I5)-1</f>
        <v>-9.8637248539908962E-3</v>
      </c>
      <c r="R6" s="10"/>
      <c r="S6" s="11"/>
      <c r="U6" s="27" t="s">
        <v>104</v>
      </c>
    </row>
    <row r="7" spans="1:22" outlineLevel="1" x14ac:dyDescent="0.2">
      <c r="B7" s="1">
        <v>46274</v>
      </c>
      <c r="C7" t="s">
        <v>14</v>
      </c>
      <c r="D7" s="2">
        <v>1531</v>
      </c>
      <c r="E7" s="2">
        <v>1531</v>
      </c>
      <c r="F7" s="2">
        <v>1498</v>
      </c>
      <c r="G7" s="2">
        <v>1559</v>
      </c>
      <c r="H7" s="2">
        <v>1508</v>
      </c>
      <c r="I7" s="2">
        <v>1508</v>
      </c>
      <c r="J7" s="2">
        <v>1508.2</v>
      </c>
      <c r="K7" s="2">
        <v>1854</v>
      </c>
      <c r="L7" s="2">
        <v>1304.0999999999999</v>
      </c>
      <c r="M7" t="s">
        <v>45</v>
      </c>
      <c r="N7" t="s">
        <v>46</v>
      </c>
      <c r="O7" s="3">
        <v>65093</v>
      </c>
      <c r="Q7" s="24">
        <f t="shared" ref="Q7:Q19" si="0">(I7/I6)-1</f>
        <v>-1.166601127277489E-2</v>
      </c>
      <c r="R7" s="25">
        <f>_xlfn.STDEV.S($Q$5:$Q$19)</f>
        <v>1.6644223282096058E-2</v>
      </c>
      <c r="S7" s="25">
        <f>AVERAGE($Q$5:$Q$19)</f>
        <v>1.965704685068877E-3</v>
      </c>
      <c r="T7" s="26">
        <f>($I$19-$I$5)/$I$5</f>
        <v>2.7903958468526932E-2</v>
      </c>
      <c r="U7" s="27">
        <f>SLOPE($Q$6:$Q$19,$R$31:$R$44)</f>
        <v>-0.81398851583841347</v>
      </c>
    </row>
    <row r="8" spans="1:22" outlineLevel="1" x14ac:dyDescent="0.2">
      <c r="B8" s="1">
        <v>46273</v>
      </c>
      <c r="C8" t="s">
        <v>14</v>
      </c>
      <c r="D8" s="2">
        <v>1556.1</v>
      </c>
      <c r="E8" s="2">
        <v>1569.9</v>
      </c>
      <c r="F8" s="2">
        <v>1541.4</v>
      </c>
      <c r="G8" s="2">
        <v>1564</v>
      </c>
      <c r="H8" s="2">
        <v>1559</v>
      </c>
      <c r="I8" s="2">
        <v>1559</v>
      </c>
      <c r="J8" s="2">
        <v>1553.5</v>
      </c>
      <c r="K8" s="2">
        <v>1854</v>
      </c>
      <c r="L8" s="2">
        <v>1304.0999999999999</v>
      </c>
      <c r="M8" t="s">
        <v>47</v>
      </c>
      <c r="N8" t="s">
        <v>48</v>
      </c>
      <c r="O8" s="3">
        <v>68913</v>
      </c>
      <c r="Q8" s="24">
        <f t="shared" si="0"/>
        <v>3.3819628647214772E-2</v>
      </c>
      <c r="U8" s="27"/>
    </row>
    <row r="9" spans="1:22" outlineLevel="1" x14ac:dyDescent="0.2">
      <c r="B9" s="1">
        <v>46272</v>
      </c>
      <c r="C9" t="s">
        <v>14</v>
      </c>
      <c r="D9" s="2">
        <v>1575.1</v>
      </c>
      <c r="E9" s="2">
        <v>1593.6</v>
      </c>
      <c r="F9" s="2">
        <v>1545.3</v>
      </c>
      <c r="G9" s="2">
        <v>1596.9</v>
      </c>
      <c r="H9" s="2">
        <v>1564</v>
      </c>
      <c r="I9" s="2">
        <v>1564</v>
      </c>
      <c r="J9" s="2">
        <v>1558.67</v>
      </c>
      <c r="K9" s="2">
        <v>1854</v>
      </c>
      <c r="L9" s="2">
        <v>1304.0999999999999</v>
      </c>
      <c r="M9" t="s">
        <v>49</v>
      </c>
      <c r="N9" t="s">
        <v>50</v>
      </c>
      <c r="O9" s="3">
        <v>50380</v>
      </c>
      <c r="Q9" s="24">
        <f t="shared" si="0"/>
        <v>3.207184092366866E-3</v>
      </c>
      <c r="R9" s="29">
        <f>_xlfn.STDEV.S($Q$5:$Q$19)</f>
        <v>1.6644223282096058E-2</v>
      </c>
      <c r="S9" s="29">
        <f>AVERAGE($Q$5:$Q$19)</f>
        <v>1.965704685068877E-3</v>
      </c>
      <c r="T9" s="29">
        <f>($I$19-$I$5)/$I$5</f>
        <v>2.7903958468526932E-2</v>
      </c>
      <c r="U9" s="24">
        <f>SLOPE($Q$6:$Q$19,$R$31:$R$44)</f>
        <v>-0.81398851583841347</v>
      </c>
      <c r="V9" s="30"/>
    </row>
    <row r="10" spans="1:22" outlineLevel="1" x14ac:dyDescent="0.2">
      <c r="B10" s="1">
        <v>46269</v>
      </c>
      <c r="C10" t="s">
        <v>14</v>
      </c>
      <c r="D10" s="2">
        <v>1605.1</v>
      </c>
      <c r="E10" s="2">
        <v>1623.4</v>
      </c>
      <c r="F10" s="2">
        <v>1586.9</v>
      </c>
      <c r="G10" s="2">
        <v>1598</v>
      </c>
      <c r="H10" s="2">
        <v>1596.9</v>
      </c>
      <c r="I10" s="2">
        <v>1596.9</v>
      </c>
      <c r="J10" s="2">
        <v>1597.39</v>
      </c>
      <c r="K10" s="2">
        <v>1854</v>
      </c>
      <c r="L10" s="2">
        <v>1304.0999999999999</v>
      </c>
      <c r="M10" t="s">
        <v>15</v>
      </c>
      <c r="N10" t="s">
        <v>16</v>
      </c>
      <c r="O10" s="3">
        <v>27058</v>
      </c>
      <c r="Q10" s="24">
        <f t="shared" si="0"/>
        <v>2.1035805626598458E-2</v>
      </c>
      <c r="R10" s="9"/>
      <c r="U10" s="27" t="s">
        <v>105</v>
      </c>
    </row>
    <row r="11" spans="1:22" outlineLevel="1" x14ac:dyDescent="0.2">
      <c r="B11" s="1">
        <v>46268</v>
      </c>
      <c r="C11" t="s">
        <v>14</v>
      </c>
      <c r="D11" s="2">
        <v>1623</v>
      </c>
      <c r="E11" s="2">
        <v>1625.6</v>
      </c>
      <c r="F11" s="2">
        <v>1592</v>
      </c>
      <c r="G11" s="2">
        <v>1623</v>
      </c>
      <c r="H11" s="2">
        <v>1598</v>
      </c>
      <c r="I11" s="2">
        <v>1598</v>
      </c>
      <c r="J11" s="2">
        <v>1600.2</v>
      </c>
      <c r="K11" s="2">
        <v>1854</v>
      </c>
      <c r="L11" s="2">
        <v>1304.0999999999999</v>
      </c>
      <c r="M11" t="s">
        <v>17</v>
      </c>
      <c r="N11" t="s">
        <v>18</v>
      </c>
      <c r="O11" s="3">
        <v>57407</v>
      </c>
      <c r="Q11" s="24">
        <f t="shared" si="0"/>
        <v>6.8883461707058835E-4</v>
      </c>
      <c r="S11" s="13"/>
      <c r="U11" s="27">
        <f>SLOPE($Q$6:$Q$19,$R$48:$R$61)</f>
        <v>-0.86159421052694518</v>
      </c>
    </row>
    <row r="12" spans="1:22" outlineLevel="1" x14ac:dyDescent="0.2">
      <c r="B12" s="1">
        <v>46267</v>
      </c>
      <c r="C12" t="s">
        <v>14</v>
      </c>
      <c r="D12" s="2">
        <v>1630</v>
      </c>
      <c r="E12" s="2">
        <v>1637.2</v>
      </c>
      <c r="F12" s="2">
        <v>1604.5</v>
      </c>
      <c r="G12" s="2">
        <v>1638</v>
      </c>
      <c r="H12" s="2">
        <v>1623</v>
      </c>
      <c r="I12" s="2">
        <v>1623</v>
      </c>
      <c r="J12" s="2">
        <v>1616.74</v>
      </c>
      <c r="K12" s="2">
        <v>1854</v>
      </c>
      <c r="L12" s="2">
        <v>1304.0999999999999</v>
      </c>
      <c r="M12" t="s">
        <v>19</v>
      </c>
      <c r="N12" t="s">
        <v>20</v>
      </c>
      <c r="O12" s="3">
        <v>69222</v>
      </c>
      <c r="Q12" s="24">
        <f t="shared" si="0"/>
        <v>1.5644555694618312E-2</v>
      </c>
      <c r="S12" s="13"/>
      <c r="U12" s="24">
        <f>SLOPE($Q$6:$Q$19,$R$48:$R$61)</f>
        <v>-0.86159421052694518</v>
      </c>
    </row>
    <row r="13" spans="1:22" outlineLevel="1" x14ac:dyDescent="0.2">
      <c r="B13" s="1">
        <v>46266</v>
      </c>
      <c r="C13" t="s">
        <v>14</v>
      </c>
      <c r="D13" s="2">
        <v>1630</v>
      </c>
      <c r="E13" s="2">
        <v>1649</v>
      </c>
      <c r="F13" s="2">
        <v>1613.7</v>
      </c>
      <c r="G13" s="2">
        <v>1628</v>
      </c>
      <c r="H13" s="2">
        <v>1638</v>
      </c>
      <c r="I13" s="2">
        <v>1638</v>
      </c>
      <c r="J13" s="2">
        <v>1637.05</v>
      </c>
      <c r="K13" s="2">
        <v>1854</v>
      </c>
      <c r="L13" s="2">
        <v>1304.0999999999999</v>
      </c>
      <c r="M13" t="s">
        <v>21</v>
      </c>
      <c r="N13" t="s">
        <v>22</v>
      </c>
      <c r="O13" s="3">
        <v>76425</v>
      </c>
      <c r="Q13" s="24">
        <f t="shared" si="0"/>
        <v>9.2421441774490631E-3</v>
      </c>
      <c r="S13" s="13"/>
      <c r="U13" s="27" t="s">
        <v>106</v>
      </c>
    </row>
    <row r="14" spans="1:22" outlineLevel="1" x14ac:dyDescent="0.2">
      <c r="B14" s="1">
        <v>46265</v>
      </c>
      <c r="C14" t="s">
        <v>14</v>
      </c>
      <c r="D14" s="2">
        <v>1640</v>
      </c>
      <c r="E14" s="2">
        <v>1640.9</v>
      </c>
      <c r="F14" s="2">
        <v>1609.1</v>
      </c>
      <c r="G14" s="2">
        <v>1640.9</v>
      </c>
      <c r="H14" s="2">
        <v>1628</v>
      </c>
      <c r="I14" s="2">
        <v>1628</v>
      </c>
      <c r="J14" s="2">
        <v>1623.29</v>
      </c>
      <c r="K14" s="2">
        <v>1854</v>
      </c>
      <c r="L14" s="2">
        <v>1304.0999999999999</v>
      </c>
      <c r="M14" t="s">
        <v>23</v>
      </c>
      <c r="N14" t="s">
        <v>24</v>
      </c>
      <c r="O14" s="3">
        <v>68160</v>
      </c>
      <c r="Q14" s="24">
        <f t="shared" si="0"/>
        <v>-6.1050061050060833E-3</v>
      </c>
      <c r="S14" s="15"/>
      <c r="U14" s="27">
        <f>SLOPE($Q$8:$Q$19,$R$66:$R$77)</f>
        <v>-0.32821134403924856</v>
      </c>
    </row>
    <row r="15" spans="1:22" outlineLevel="1" x14ac:dyDescent="0.2">
      <c r="B15" s="1">
        <v>46262</v>
      </c>
      <c r="C15" t="s">
        <v>14</v>
      </c>
      <c r="D15" s="2">
        <v>1600</v>
      </c>
      <c r="E15" s="2">
        <v>1642</v>
      </c>
      <c r="F15" s="2">
        <v>1598</v>
      </c>
      <c r="G15" s="2">
        <v>1585</v>
      </c>
      <c r="H15" s="2">
        <v>1640.9</v>
      </c>
      <c r="I15" s="2">
        <v>1640.9</v>
      </c>
      <c r="J15" s="2">
        <v>1631.09</v>
      </c>
      <c r="K15" s="2">
        <v>1854</v>
      </c>
      <c r="L15" s="2">
        <v>1304.0999999999999</v>
      </c>
      <c r="M15" t="s">
        <v>25</v>
      </c>
      <c r="N15" t="s">
        <v>26</v>
      </c>
      <c r="O15" s="3">
        <v>94086</v>
      </c>
      <c r="Q15" s="24">
        <f t="shared" si="0"/>
        <v>7.9238329238329186E-3</v>
      </c>
      <c r="S15" s="13"/>
      <c r="U15" s="24">
        <f>SLOPE($Q$8:$Q$19,$R$66:$R$77)</f>
        <v>-0.32821134403924856</v>
      </c>
    </row>
    <row r="16" spans="1:22" outlineLevel="1" x14ac:dyDescent="0.2">
      <c r="B16" s="1">
        <v>46261</v>
      </c>
      <c r="C16" t="s">
        <v>14</v>
      </c>
      <c r="D16" s="2">
        <v>1571.6</v>
      </c>
      <c r="E16" s="2">
        <v>1600</v>
      </c>
      <c r="F16" s="2">
        <v>1571.6</v>
      </c>
      <c r="G16" s="2">
        <v>1571</v>
      </c>
      <c r="H16" s="2">
        <v>1585</v>
      </c>
      <c r="I16" s="2">
        <v>1585</v>
      </c>
      <c r="J16" s="2">
        <v>1588.85</v>
      </c>
      <c r="K16" s="2">
        <v>1854</v>
      </c>
      <c r="L16" s="2">
        <v>1304.0999999999999</v>
      </c>
      <c r="M16" t="s">
        <v>27</v>
      </c>
      <c r="N16" t="s">
        <v>28</v>
      </c>
      <c r="O16" s="3">
        <v>78804</v>
      </c>
      <c r="Q16" s="24">
        <f t="shared" si="0"/>
        <v>-3.4066670729477777E-2</v>
      </c>
      <c r="S16" s="13"/>
    </row>
    <row r="17" spans="1:24" outlineLevel="1" x14ac:dyDescent="0.2">
      <c r="B17" s="1">
        <v>46260</v>
      </c>
      <c r="C17" t="s">
        <v>14</v>
      </c>
      <c r="D17" s="2">
        <v>1607.5</v>
      </c>
      <c r="E17" s="2">
        <v>1614.9</v>
      </c>
      <c r="F17" s="2">
        <v>1565.8</v>
      </c>
      <c r="G17" s="2">
        <v>1599.9</v>
      </c>
      <c r="H17" s="2">
        <v>1571</v>
      </c>
      <c r="I17" s="2">
        <v>1571</v>
      </c>
      <c r="J17" s="2">
        <v>1579.52</v>
      </c>
      <c r="K17" s="2">
        <v>1854</v>
      </c>
      <c r="L17" s="2">
        <v>1304.0999999999999</v>
      </c>
      <c r="M17" t="s">
        <v>29</v>
      </c>
      <c r="N17" t="s">
        <v>30</v>
      </c>
      <c r="O17" s="3">
        <v>33321</v>
      </c>
      <c r="Q17" s="24">
        <f t="shared" si="0"/>
        <v>-8.8328075709779297E-3</v>
      </c>
    </row>
    <row r="18" spans="1:24" outlineLevel="1" x14ac:dyDescent="0.2">
      <c r="B18" s="1">
        <v>46259</v>
      </c>
      <c r="C18" t="s">
        <v>14</v>
      </c>
      <c r="D18" s="2">
        <v>1588.1</v>
      </c>
      <c r="E18" s="2">
        <v>1599.9</v>
      </c>
      <c r="F18" s="2">
        <v>1562</v>
      </c>
      <c r="G18" s="2">
        <v>1584</v>
      </c>
      <c r="H18" s="2">
        <v>1599.9</v>
      </c>
      <c r="I18" s="2">
        <v>1599.9</v>
      </c>
      <c r="J18" s="2">
        <v>1575.62</v>
      </c>
      <c r="K18" s="2">
        <v>1854</v>
      </c>
      <c r="L18" s="2">
        <v>1304.0999999999999</v>
      </c>
      <c r="M18" t="s">
        <v>31</v>
      </c>
      <c r="N18" t="s">
        <v>32</v>
      </c>
      <c r="O18" s="3">
        <v>49801</v>
      </c>
      <c r="Q18" s="24">
        <f t="shared" si="0"/>
        <v>1.839592616168062E-2</v>
      </c>
      <c r="U18" s="14"/>
    </row>
    <row r="19" spans="1:24" outlineLevel="1" x14ac:dyDescent="0.2">
      <c r="B19" s="1">
        <v>46258</v>
      </c>
      <c r="C19" t="s">
        <v>14</v>
      </c>
      <c r="D19" s="2">
        <v>1580.1</v>
      </c>
      <c r="E19" s="2">
        <v>1599</v>
      </c>
      <c r="F19" s="2">
        <v>1574.1</v>
      </c>
      <c r="G19" s="2">
        <v>1584</v>
      </c>
      <c r="H19" s="2">
        <v>1584</v>
      </c>
      <c r="I19" s="2">
        <v>1584</v>
      </c>
      <c r="J19" s="2">
        <v>1587.42</v>
      </c>
      <c r="K19" s="2">
        <v>1854</v>
      </c>
      <c r="L19" s="2">
        <v>1304.0999999999999</v>
      </c>
      <c r="M19" t="s">
        <v>33</v>
      </c>
      <c r="N19" t="s">
        <v>34</v>
      </c>
      <c r="O19" t="s">
        <v>35</v>
      </c>
      <c r="Q19" s="24">
        <f t="shared" si="0"/>
        <v>-9.9381211325708652E-3</v>
      </c>
    </row>
    <row r="20" spans="1:24" outlineLevel="1" x14ac:dyDescent="0.2">
      <c r="B20" s="21"/>
      <c r="C20" s="17"/>
      <c r="D20" s="20"/>
      <c r="E20" s="20"/>
      <c r="F20" s="20"/>
      <c r="G20" s="20"/>
      <c r="H20" s="20"/>
      <c r="I20" s="20"/>
      <c r="J20" s="20"/>
      <c r="K20" s="20"/>
      <c r="L20" s="20"/>
      <c r="M20" s="17"/>
      <c r="N20" s="17"/>
      <c r="O20" s="18"/>
      <c r="P20" s="17"/>
      <c r="Q20" s="19"/>
      <c r="R20" s="17"/>
      <c r="S20" s="17"/>
      <c r="T20" s="17"/>
      <c r="U20" s="17"/>
      <c r="V20" s="17"/>
      <c r="X20" s="11"/>
    </row>
    <row r="21" spans="1:24" x14ac:dyDescent="0.2">
      <c r="B21" s="1"/>
      <c r="D21" s="2"/>
      <c r="E21" s="2"/>
      <c r="F21" s="2"/>
      <c r="G21" s="2"/>
      <c r="H21" s="2"/>
      <c r="I21" s="2"/>
      <c r="J21" s="2"/>
      <c r="K21" s="2"/>
      <c r="L21" s="2"/>
      <c r="Q21" s="10"/>
    </row>
    <row r="22" spans="1:24" x14ac:dyDescent="0.2">
      <c r="B22" s="1"/>
      <c r="D22" s="2"/>
      <c r="E22" s="2"/>
      <c r="F22" s="2"/>
      <c r="G22" s="2"/>
      <c r="H22" s="2"/>
      <c r="I22" s="2"/>
      <c r="J22" s="2"/>
      <c r="K22" s="2"/>
      <c r="L22" s="2"/>
      <c r="O22" s="3"/>
      <c r="Q22" s="10"/>
    </row>
    <row r="23" spans="1:24" x14ac:dyDescent="0.2">
      <c r="B23" s="1"/>
      <c r="D23" s="2"/>
      <c r="E23" s="2"/>
      <c r="F23" s="2"/>
      <c r="G23" s="2"/>
      <c r="H23" s="2"/>
      <c r="I23" s="2"/>
      <c r="J23" s="2"/>
      <c r="K23" s="2"/>
      <c r="L23" s="2"/>
      <c r="Q23" s="10"/>
    </row>
    <row r="24" spans="1:24" x14ac:dyDescent="0.2">
      <c r="B24" s="1"/>
      <c r="D24" s="2"/>
      <c r="E24" s="2"/>
      <c r="F24" s="2"/>
      <c r="G24" s="2"/>
      <c r="H24" s="2"/>
      <c r="I24" s="2"/>
      <c r="J24" s="2"/>
      <c r="K24" s="2"/>
      <c r="L24" s="2"/>
      <c r="Q24" s="10"/>
    </row>
    <row r="25" spans="1:24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 t="s">
        <v>39</v>
      </c>
    </row>
    <row r="26" spans="1:24" ht="19" x14ac:dyDescent="0.2">
      <c r="A26" s="4"/>
      <c r="B26" s="4"/>
      <c r="C26" s="4"/>
      <c r="D26" s="4"/>
      <c r="E26" s="4"/>
      <c r="F26" s="8" t="s">
        <v>54</v>
      </c>
      <c r="G26" s="7"/>
      <c r="H26" s="7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4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4" ht="22" outlineLevel="1" x14ac:dyDescent="0.3">
      <c r="A28" s="6" t="s">
        <v>36</v>
      </c>
      <c r="B28" s="5" t="s">
        <v>55</v>
      </c>
      <c r="C28" s="5" t="s">
        <v>56</v>
      </c>
      <c r="D28" s="5" t="s">
        <v>57</v>
      </c>
      <c r="E28" s="5" t="s">
        <v>58</v>
      </c>
      <c r="F28" s="5" t="s">
        <v>59</v>
      </c>
      <c r="G28" s="5" t="s">
        <v>60</v>
      </c>
      <c r="H28" s="5" t="s">
        <v>61</v>
      </c>
      <c r="I28" s="5" t="s">
        <v>62</v>
      </c>
      <c r="J28" s="5"/>
      <c r="K28" s="5" t="s">
        <v>107</v>
      </c>
      <c r="L28" s="5" t="s">
        <v>56</v>
      </c>
      <c r="M28" s="5" t="s">
        <v>57</v>
      </c>
      <c r="N28" s="5" t="s">
        <v>58</v>
      </c>
      <c r="O28" s="5" t="s">
        <v>59</v>
      </c>
      <c r="P28" s="5" t="s">
        <v>60</v>
      </c>
      <c r="Q28" s="5" t="s">
        <v>103</v>
      </c>
      <c r="R28" s="5" t="s">
        <v>38</v>
      </c>
      <c r="S28" s="5" t="s">
        <v>40</v>
      </c>
      <c r="T28" s="5" t="s">
        <v>52</v>
      </c>
      <c r="U28" s="5" t="s">
        <v>51</v>
      </c>
      <c r="V28" s="5"/>
    </row>
    <row r="29" spans="1:24" outlineLevel="1" x14ac:dyDescent="0.2">
      <c r="O29" s="10"/>
    </row>
    <row r="30" spans="1:24" outlineLevel="1" x14ac:dyDescent="0.2">
      <c r="B30" s="1">
        <v>46276</v>
      </c>
      <c r="C30" s="1">
        <v>46322</v>
      </c>
      <c r="D30" s="2">
        <v>23466.1</v>
      </c>
      <c r="E30" s="2">
        <v>23617.599999999999</v>
      </c>
      <c r="F30" s="2">
        <v>23388.3</v>
      </c>
      <c r="G30" s="2">
        <v>23586.6</v>
      </c>
      <c r="H30" s="2">
        <v>23604</v>
      </c>
      <c r="I30" t="s">
        <v>63</v>
      </c>
      <c r="J30" s="1"/>
      <c r="K30" s="1">
        <v>46258</v>
      </c>
      <c r="L30" s="1">
        <v>46294</v>
      </c>
      <c r="M30" s="2">
        <v>24475</v>
      </c>
      <c r="N30" s="2">
        <v>24475</v>
      </c>
      <c r="O30" s="2">
        <v>24287.1</v>
      </c>
      <c r="P30" s="2">
        <v>24324.1</v>
      </c>
      <c r="Q30" s="2">
        <v>24319.1</v>
      </c>
      <c r="R30" s="23">
        <f>0</f>
        <v>0</v>
      </c>
      <c r="S30" s="28">
        <f>AVERAGE($R$31:$R$44)</f>
        <v>-2.4956058655522368E-3</v>
      </c>
      <c r="T30" s="29">
        <f>_xlfn.STDEV.S($R$31:$R$44)</f>
        <v>4.1990048607967448E-3</v>
      </c>
      <c r="U30" s="29">
        <f>($P$44-$P$30)/$P$30</f>
        <v>-3.4488429171068938E-2</v>
      </c>
    </row>
    <row r="31" spans="1:24" outlineLevel="1" x14ac:dyDescent="0.2">
      <c r="B31" s="1">
        <v>46276</v>
      </c>
      <c r="C31" s="1">
        <v>46294</v>
      </c>
      <c r="D31" s="2">
        <v>23335</v>
      </c>
      <c r="E31" s="2">
        <v>23517.4</v>
      </c>
      <c r="F31" s="2">
        <v>23300</v>
      </c>
      <c r="G31" s="2">
        <v>23485.200000000001</v>
      </c>
      <c r="H31" s="2">
        <v>23499</v>
      </c>
      <c r="I31" t="s">
        <v>64</v>
      </c>
      <c r="K31" s="1">
        <v>46259</v>
      </c>
      <c r="L31" s="1">
        <v>46294</v>
      </c>
      <c r="M31" s="2">
        <v>24320</v>
      </c>
      <c r="N31" s="2">
        <v>24496</v>
      </c>
      <c r="O31" s="2">
        <v>24260</v>
      </c>
      <c r="P31" s="2">
        <v>24471.7</v>
      </c>
      <c r="Q31" s="2">
        <v>24485.200000000001</v>
      </c>
      <c r="R31" s="24">
        <f>(P31/P30)-1</f>
        <v>6.0680559609607165E-3</v>
      </c>
      <c r="S31" s="22"/>
      <c r="T31" s="22"/>
      <c r="U31" s="22"/>
    </row>
    <row r="32" spans="1:24" outlineLevel="1" x14ac:dyDescent="0.2">
      <c r="B32" s="1">
        <v>46276</v>
      </c>
      <c r="C32" s="1">
        <v>46349</v>
      </c>
      <c r="D32" s="2">
        <v>23568.3</v>
      </c>
      <c r="E32" s="2">
        <v>23712</v>
      </c>
      <c r="F32" s="2">
        <v>23493</v>
      </c>
      <c r="G32" s="2">
        <v>23686</v>
      </c>
      <c r="H32" s="2">
        <v>23700</v>
      </c>
      <c r="I32" t="s">
        <v>65</v>
      </c>
      <c r="K32" s="1">
        <v>46260</v>
      </c>
      <c r="L32" s="1">
        <v>46294</v>
      </c>
      <c r="M32" s="2">
        <v>24540</v>
      </c>
      <c r="N32" s="2">
        <v>24573.5</v>
      </c>
      <c r="O32" s="2">
        <v>24405.1</v>
      </c>
      <c r="P32" s="2">
        <v>24429.1</v>
      </c>
      <c r="Q32" s="2">
        <v>24420</v>
      </c>
      <c r="R32" s="24">
        <f t="shared" ref="R32:R77" si="1">(P32/P31)-1</f>
        <v>-1.7407862960072684E-3</v>
      </c>
      <c r="S32" s="25">
        <f>AVERAGE($R$31:$R$44)</f>
        <v>-2.4956058655522368E-3</v>
      </c>
      <c r="T32" s="26">
        <f>_xlfn.STDEV.S($R$31:$R$44)</f>
        <v>4.1990048607967448E-3</v>
      </c>
      <c r="U32" s="26">
        <f>($P$44-$P$30)/$P$30</f>
        <v>-3.4488429171068938E-2</v>
      </c>
    </row>
    <row r="33" spans="2:24" outlineLevel="1" x14ac:dyDescent="0.2">
      <c r="B33" s="1">
        <v>46275</v>
      </c>
      <c r="C33" s="1">
        <v>46322</v>
      </c>
      <c r="D33" s="2">
        <v>23622.799999999999</v>
      </c>
      <c r="E33" s="2">
        <v>23668.9</v>
      </c>
      <c r="F33" s="2">
        <v>23560</v>
      </c>
      <c r="G33" s="2">
        <v>23584</v>
      </c>
      <c r="H33" s="2">
        <v>23604</v>
      </c>
      <c r="I33" t="s">
        <v>66</v>
      </c>
      <c r="K33" s="1">
        <v>46261</v>
      </c>
      <c r="L33" s="1">
        <v>46294</v>
      </c>
      <c r="M33" s="2">
        <v>24399.5</v>
      </c>
      <c r="N33" s="2">
        <v>24430</v>
      </c>
      <c r="O33" s="2">
        <v>24260</v>
      </c>
      <c r="P33" s="2">
        <v>24281.9</v>
      </c>
      <c r="Q33" s="2">
        <v>24266</v>
      </c>
      <c r="R33" s="24">
        <f t="shared" si="1"/>
        <v>-6.0256006156590436E-3</v>
      </c>
    </row>
    <row r="34" spans="2:24" outlineLevel="1" x14ac:dyDescent="0.2">
      <c r="B34" s="1">
        <v>46275</v>
      </c>
      <c r="C34" s="1">
        <v>46349</v>
      </c>
      <c r="D34" s="2">
        <v>23779.9</v>
      </c>
      <c r="E34" s="2">
        <v>23779.9</v>
      </c>
      <c r="F34" s="2">
        <v>23663.5</v>
      </c>
      <c r="G34" s="2">
        <v>23698.3</v>
      </c>
      <c r="H34" s="2">
        <v>23700</v>
      </c>
      <c r="I34" t="s">
        <v>67</v>
      </c>
      <c r="K34" s="1">
        <v>46262</v>
      </c>
      <c r="L34" s="1">
        <v>46294</v>
      </c>
      <c r="M34" s="2">
        <v>24292.7</v>
      </c>
      <c r="N34" s="2">
        <v>24380.2</v>
      </c>
      <c r="O34" s="2">
        <v>24250</v>
      </c>
      <c r="P34" s="2">
        <v>24341.9</v>
      </c>
      <c r="Q34" s="2">
        <v>24349</v>
      </c>
      <c r="R34" s="24">
        <f t="shared" si="1"/>
        <v>2.4709763239285643E-3</v>
      </c>
    </row>
    <row r="35" spans="2:24" outlineLevel="1" x14ac:dyDescent="0.2">
      <c r="B35" s="1">
        <v>46275</v>
      </c>
      <c r="C35" s="1">
        <v>46294</v>
      </c>
      <c r="D35" s="2">
        <v>23525.5</v>
      </c>
      <c r="E35" s="2">
        <v>23569</v>
      </c>
      <c r="F35" s="2">
        <v>23455.5</v>
      </c>
      <c r="G35" s="2">
        <v>23484</v>
      </c>
      <c r="H35" s="2">
        <v>23500.1</v>
      </c>
      <c r="I35" t="s">
        <v>68</v>
      </c>
      <c r="K35" s="1">
        <v>46265</v>
      </c>
      <c r="L35" s="1">
        <v>46294</v>
      </c>
      <c r="M35" s="2">
        <v>24244</v>
      </c>
      <c r="N35" s="2">
        <v>24319</v>
      </c>
      <c r="O35" s="2">
        <v>24171</v>
      </c>
      <c r="P35" s="2">
        <v>24251.4</v>
      </c>
      <c r="Q35" s="2">
        <v>24245</v>
      </c>
      <c r="R35" s="24">
        <f t="shared" si="1"/>
        <v>-3.7178691885185744E-3</v>
      </c>
    </row>
    <row r="36" spans="2:24" outlineLevel="1" x14ac:dyDescent="0.2">
      <c r="B36" s="1">
        <v>46274</v>
      </c>
      <c r="C36" s="1">
        <v>46322</v>
      </c>
      <c r="D36" s="2">
        <v>23786</v>
      </c>
      <c r="E36" s="2">
        <v>23786</v>
      </c>
      <c r="F36" s="2">
        <v>23629</v>
      </c>
      <c r="G36" s="2">
        <v>23660.2</v>
      </c>
      <c r="H36" s="2">
        <v>23629</v>
      </c>
      <c r="I36" t="s">
        <v>69</v>
      </c>
      <c r="K36" s="1">
        <v>46266</v>
      </c>
      <c r="L36" s="1">
        <v>46294</v>
      </c>
      <c r="M36" s="2">
        <v>24200</v>
      </c>
      <c r="N36" s="2">
        <v>24296.1</v>
      </c>
      <c r="O36" s="2">
        <v>24064</v>
      </c>
      <c r="P36" s="2">
        <v>24090.3</v>
      </c>
      <c r="Q36" s="2">
        <v>24081</v>
      </c>
      <c r="R36" s="24">
        <f t="shared" si="1"/>
        <v>-6.6429154605508467E-3</v>
      </c>
    </row>
    <row r="37" spans="2:24" outlineLevel="1" x14ac:dyDescent="0.2">
      <c r="B37" s="1">
        <v>46274</v>
      </c>
      <c r="C37" s="1">
        <v>46294</v>
      </c>
      <c r="D37" s="2">
        <v>23674</v>
      </c>
      <c r="E37" s="2">
        <v>23674</v>
      </c>
      <c r="F37" s="2">
        <v>23517.1</v>
      </c>
      <c r="G37" s="2">
        <v>23552.2</v>
      </c>
      <c r="H37" s="2">
        <v>23530</v>
      </c>
      <c r="I37" t="s">
        <v>70</v>
      </c>
      <c r="K37" s="1">
        <v>46267</v>
      </c>
      <c r="L37" s="1">
        <v>46294</v>
      </c>
      <c r="M37" s="2">
        <v>24000</v>
      </c>
      <c r="N37" s="2">
        <v>24049</v>
      </c>
      <c r="O37" s="2">
        <v>23940</v>
      </c>
      <c r="P37" s="2">
        <v>24000.3</v>
      </c>
      <c r="Q37" s="2">
        <v>23994.799999999999</v>
      </c>
      <c r="R37" s="24">
        <f t="shared" si="1"/>
        <v>-3.7359435125341456E-3</v>
      </c>
    </row>
    <row r="38" spans="2:24" outlineLevel="1" x14ac:dyDescent="0.2">
      <c r="B38" s="1">
        <v>46274</v>
      </c>
      <c r="C38" s="1">
        <v>46349</v>
      </c>
      <c r="D38" s="2">
        <v>23944.9</v>
      </c>
      <c r="E38" s="2">
        <v>23944.9</v>
      </c>
      <c r="F38" s="2">
        <v>23730</v>
      </c>
      <c r="G38" s="2">
        <v>23768.6</v>
      </c>
      <c r="H38" s="2">
        <v>23730</v>
      </c>
      <c r="I38" t="s">
        <v>71</v>
      </c>
      <c r="K38" s="1">
        <v>46268</v>
      </c>
      <c r="L38" s="1">
        <v>46294</v>
      </c>
      <c r="M38" s="2">
        <v>24085</v>
      </c>
      <c r="N38" s="2">
        <v>24148</v>
      </c>
      <c r="O38" s="2">
        <v>23971.1</v>
      </c>
      <c r="P38" s="2">
        <v>24000.1</v>
      </c>
      <c r="Q38" s="2">
        <v>23974.799999999999</v>
      </c>
      <c r="R38" s="24">
        <f t="shared" si="1"/>
        <v>-8.3332291680449089E-6</v>
      </c>
    </row>
    <row r="39" spans="2:24" outlineLevel="1" x14ac:dyDescent="0.2">
      <c r="B39" s="1">
        <v>46273</v>
      </c>
      <c r="C39" s="1">
        <v>46322</v>
      </c>
      <c r="D39" s="2">
        <v>23971</v>
      </c>
      <c r="E39" s="2">
        <v>23971</v>
      </c>
      <c r="F39" s="2">
        <v>23830</v>
      </c>
      <c r="G39" s="2">
        <v>23850.6</v>
      </c>
      <c r="H39" s="2">
        <v>23850</v>
      </c>
      <c r="I39" t="s">
        <v>72</v>
      </c>
      <c r="K39" s="1">
        <v>46269</v>
      </c>
      <c r="L39" s="1">
        <v>46294</v>
      </c>
      <c r="M39" s="2">
        <v>24041</v>
      </c>
      <c r="N39" s="2">
        <v>24120</v>
      </c>
      <c r="O39" s="2">
        <v>24025</v>
      </c>
      <c r="P39" s="2">
        <v>24048.1</v>
      </c>
      <c r="Q39" s="2">
        <v>24048</v>
      </c>
      <c r="R39" s="24">
        <f t="shared" si="1"/>
        <v>1.999991666701284E-3</v>
      </c>
    </row>
    <row r="40" spans="2:24" outlineLevel="1" x14ac:dyDescent="0.2">
      <c r="B40" s="1">
        <v>46273</v>
      </c>
      <c r="C40" s="1">
        <v>46349</v>
      </c>
      <c r="D40" s="2">
        <v>24050</v>
      </c>
      <c r="E40" s="2">
        <v>24050.1</v>
      </c>
      <c r="F40" s="2">
        <v>23937</v>
      </c>
      <c r="G40" s="2">
        <v>23951.599999999999</v>
      </c>
      <c r="H40" s="2">
        <v>23955</v>
      </c>
      <c r="I40" t="s">
        <v>73</v>
      </c>
      <c r="K40" s="1">
        <v>46272</v>
      </c>
      <c r="L40" s="1">
        <v>46294</v>
      </c>
      <c r="M40" s="2">
        <v>24000</v>
      </c>
      <c r="N40" s="2">
        <v>24000</v>
      </c>
      <c r="O40" s="2">
        <v>23855</v>
      </c>
      <c r="P40" s="2">
        <v>23867.7</v>
      </c>
      <c r="Q40" s="2">
        <v>23866.1</v>
      </c>
      <c r="R40" s="24">
        <f t="shared" si="1"/>
        <v>-7.5016321455748658E-3</v>
      </c>
      <c r="X40" s="11"/>
    </row>
    <row r="41" spans="2:24" outlineLevel="1" x14ac:dyDescent="0.2">
      <c r="B41" s="1">
        <v>46273</v>
      </c>
      <c r="C41" s="1">
        <v>46294</v>
      </c>
      <c r="D41" s="2">
        <v>23828</v>
      </c>
      <c r="E41" s="2">
        <v>23830</v>
      </c>
      <c r="F41" s="2">
        <v>23725</v>
      </c>
      <c r="G41" s="2">
        <v>23749.599999999999</v>
      </c>
      <c r="H41" s="2">
        <v>23744.1</v>
      </c>
      <c r="I41" t="s">
        <v>74</v>
      </c>
      <c r="K41" s="1">
        <v>46273</v>
      </c>
      <c r="L41" s="1">
        <v>46294</v>
      </c>
      <c r="M41" s="2">
        <v>23828</v>
      </c>
      <c r="N41" s="2">
        <v>23830</v>
      </c>
      <c r="O41" s="2">
        <v>23725</v>
      </c>
      <c r="P41" s="2">
        <v>23749.599999999999</v>
      </c>
      <c r="Q41" s="2">
        <v>23744.1</v>
      </c>
      <c r="R41" s="24">
        <f t="shared" si="1"/>
        <v>-4.948109788542765E-3</v>
      </c>
    </row>
    <row r="42" spans="2:24" outlineLevel="1" x14ac:dyDescent="0.2">
      <c r="B42" s="1">
        <v>46272</v>
      </c>
      <c r="C42" s="1">
        <v>46349</v>
      </c>
      <c r="D42" s="2">
        <v>24235.1</v>
      </c>
      <c r="E42" s="2">
        <v>24235.1</v>
      </c>
      <c r="F42" s="2">
        <v>24070.3</v>
      </c>
      <c r="G42" s="2">
        <v>24082.799999999999</v>
      </c>
      <c r="H42" s="2">
        <v>24079.599999999999</v>
      </c>
      <c r="I42" t="s">
        <v>75</v>
      </c>
      <c r="K42" s="1">
        <v>46274</v>
      </c>
      <c r="L42" s="1">
        <v>46294</v>
      </c>
      <c r="M42" s="2">
        <v>23674</v>
      </c>
      <c r="N42" s="2">
        <v>23674</v>
      </c>
      <c r="O42" s="2">
        <v>23517.1</v>
      </c>
      <c r="P42" s="2">
        <v>23552.2</v>
      </c>
      <c r="Q42" s="2">
        <v>23530</v>
      </c>
      <c r="R42" s="24">
        <f t="shared" si="1"/>
        <v>-8.3117189342135633E-3</v>
      </c>
      <c r="T42" s="14"/>
    </row>
    <row r="43" spans="2:24" outlineLevel="1" x14ac:dyDescent="0.2">
      <c r="B43" s="1">
        <v>46272</v>
      </c>
      <c r="C43" s="1">
        <v>46294</v>
      </c>
      <c r="D43" s="2">
        <v>24000</v>
      </c>
      <c r="E43" s="2">
        <v>24000</v>
      </c>
      <c r="F43" s="2">
        <v>23855</v>
      </c>
      <c r="G43" s="2">
        <v>23867.7</v>
      </c>
      <c r="H43" s="2">
        <v>23866.1</v>
      </c>
      <c r="I43" t="s">
        <v>76</v>
      </c>
      <c r="K43" s="1">
        <v>46275</v>
      </c>
      <c r="L43" s="1">
        <v>46294</v>
      </c>
      <c r="M43" s="2">
        <v>23525.5</v>
      </c>
      <c r="N43" s="2">
        <v>23569</v>
      </c>
      <c r="O43" s="2">
        <v>23455.5</v>
      </c>
      <c r="P43" s="2">
        <v>23484</v>
      </c>
      <c r="Q43" s="2">
        <v>23500.1</v>
      </c>
      <c r="R43" s="24">
        <f t="shared" si="1"/>
        <v>-2.895695518890018E-3</v>
      </c>
    </row>
    <row r="44" spans="2:24" outlineLevel="1" x14ac:dyDescent="0.2">
      <c r="B44" s="1">
        <v>46272</v>
      </c>
      <c r="C44" s="1">
        <v>46322</v>
      </c>
      <c r="D44" s="2">
        <v>24100.2</v>
      </c>
      <c r="E44" s="2">
        <v>24100.2</v>
      </c>
      <c r="F44" s="2">
        <v>23960</v>
      </c>
      <c r="G44" s="2">
        <v>23975.8</v>
      </c>
      <c r="H44" s="2">
        <v>23971</v>
      </c>
      <c r="I44" t="s">
        <v>77</v>
      </c>
      <c r="K44" s="1">
        <v>46276</v>
      </c>
      <c r="L44" s="1">
        <v>46294</v>
      </c>
      <c r="M44" s="2">
        <v>23335</v>
      </c>
      <c r="N44" s="2">
        <v>23517.4</v>
      </c>
      <c r="O44" s="2">
        <v>23300</v>
      </c>
      <c r="P44" s="2">
        <v>23485.200000000001</v>
      </c>
      <c r="Q44" s="2">
        <v>23499</v>
      </c>
      <c r="R44" s="24">
        <f t="shared" si="1"/>
        <v>5.1098620337253209E-5</v>
      </c>
    </row>
    <row r="45" spans="2:24" outlineLevel="1" x14ac:dyDescent="0.2">
      <c r="B45" s="1">
        <v>46269</v>
      </c>
      <c r="C45" s="1">
        <v>46322</v>
      </c>
      <c r="D45" s="2">
        <v>24119.4</v>
      </c>
      <c r="E45" s="2">
        <v>24221.9</v>
      </c>
      <c r="F45" s="2">
        <v>24119.4</v>
      </c>
      <c r="G45" s="2">
        <v>24149.4</v>
      </c>
      <c r="H45" s="2">
        <v>24150</v>
      </c>
      <c r="I45" t="s">
        <v>78</v>
      </c>
      <c r="K45" s="17"/>
      <c r="L45" s="17"/>
      <c r="M45" s="17"/>
      <c r="N45" s="18"/>
      <c r="O45" s="19"/>
      <c r="P45" s="17"/>
      <c r="Q45" s="17"/>
      <c r="R45" s="19"/>
      <c r="S45" s="17"/>
      <c r="T45" s="17"/>
      <c r="U45" s="17"/>
      <c r="V45" s="17"/>
    </row>
    <row r="46" spans="2:24" outlineLevel="1" x14ac:dyDescent="0.2">
      <c r="B46" s="1">
        <v>46269</v>
      </c>
      <c r="C46" s="1">
        <v>46349</v>
      </c>
      <c r="D46" s="2">
        <v>24300</v>
      </c>
      <c r="E46" s="2">
        <v>24330</v>
      </c>
      <c r="F46" s="2">
        <v>24225.9</v>
      </c>
      <c r="G46" s="2">
        <v>24262</v>
      </c>
      <c r="H46" s="2">
        <v>24266.7</v>
      </c>
      <c r="I46" s="3">
        <v>55445</v>
      </c>
      <c r="J46" s="3"/>
      <c r="N46" s="3"/>
      <c r="O46" s="16"/>
      <c r="R46" s="10"/>
    </row>
    <row r="47" spans="2:24" outlineLevel="1" x14ac:dyDescent="0.2">
      <c r="B47" s="1">
        <v>46269</v>
      </c>
      <c r="C47" s="1">
        <v>46294</v>
      </c>
      <c r="D47" s="2">
        <v>24041</v>
      </c>
      <c r="E47" s="2">
        <v>24120</v>
      </c>
      <c r="F47" s="2">
        <v>24025</v>
      </c>
      <c r="G47" s="2">
        <v>24048.1</v>
      </c>
      <c r="H47" s="2">
        <v>24048</v>
      </c>
      <c r="I47" t="s">
        <v>79</v>
      </c>
      <c r="K47" s="1">
        <v>46258</v>
      </c>
      <c r="L47" s="1">
        <v>46322</v>
      </c>
      <c r="M47" s="2">
        <v>24585</v>
      </c>
      <c r="N47" s="2">
        <v>24585</v>
      </c>
      <c r="O47" s="2">
        <v>24411</v>
      </c>
      <c r="P47" s="2">
        <v>24441.9</v>
      </c>
      <c r="Q47" s="2">
        <v>24428.799999999999</v>
      </c>
      <c r="R47" s="10"/>
    </row>
    <row r="48" spans="2:24" outlineLevel="1" x14ac:dyDescent="0.2">
      <c r="B48" s="1">
        <v>46268</v>
      </c>
      <c r="C48" s="1">
        <v>46322</v>
      </c>
      <c r="D48" s="2">
        <v>24179.4</v>
      </c>
      <c r="E48" s="2">
        <v>24254.6</v>
      </c>
      <c r="F48" s="2">
        <v>24078</v>
      </c>
      <c r="G48" s="2">
        <v>24103.599999999999</v>
      </c>
      <c r="H48" s="2">
        <v>24079.599999999999</v>
      </c>
      <c r="I48" t="s">
        <v>80</v>
      </c>
      <c r="K48" s="1">
        <v>46259</v>
      </c>
      <c r="L48" s="1">
        <v>46322</v>
      </c>
      <c r="M48" s="2">
        <v>24441.9</v>
      </c>
      <c r="N48" s="2">
        <v>24611.200000000001</v>
      </c>
      <c r="O48" s="2">
        <v>24376.1</v>
      </c>
      <c r="P48" s="2">
        <v>24590.400000000001</v>
      </c>
      <c r="Q48" s="2">
        <v>24611.200000000001</v>
      </c>
      <c r="R48" s="24">
        <f t="shared" si="1"/>
        <v>6.0756324181017174E-3</v>
      </c>
      <c r="S48" s="28">
        <f>AVERAGE(R48:R61)</f>
        <v>-2.5328597331557806E-3</v>
      </c>
      <c r="T48" s="29">
        <f>_xlfn.STDEV.S(R48:R61)</f>
        <v>4.1998092990923139E-3</v>
      </c>
      <c r="U48" s="29">
        <f>(P61-P47)/P47</f>
        <v>-3.4993187927288914E-2</v>
      </c>
    </row>
    <row r="49" spans="2:22" outlineLevel="1" x14ac:dyDescent="0.2">
      <c r="B49" s="1">
        <v>46268</v>
      </c>
      <c r="C49" s="1">
        <v>46294</v>
      </c>
      <c r="D49" s="2">
        <v>24085</v>
      </c>
      <c r="E49" s="2">
        <v>24148</v>
      </c>
      <c r="F49" s="2">
        <v>23971.1</v>
      </c>
      <c r="G49" s="2">
        <v>24000.1</v>
      </c>
      <c r="H49" s="2">
        <v>23974.799999999999</v>
      </c>
      <c r="I49" t="s">
        <v>81</v>
      </c>
      <c r="K49" s="1">
        <v>46260</v>
      </c>
      <c r="L49" s="1">
        <v>46322</v>
      </c>
      <c r="M49" s="2">
        <v>24600.1</v>
      </c>
      <c r="N49" s="2">
        <v>24689</v>
      </c>
      <c r="O49" s="2">
        <v>24540</v>
      </c>
      <c r="P49" s="2">
        <v>24562</v>
      </c>
      <c r="Q49" s="2">
        <v>24553.5</v>
      </c>
      <c r="R49" s="24">
        <f t="shared" si="1"/>
        <v>-1.1549222460798259E-3</v>
      </c>
    </row>
    <row r="50" spans="2:22" outlineLevel="1" x14ac:dyDescent="0.2">
      <c r="B50" s="1">
        <v>46268</v>
      </c>
      <c r="C50" s="1">
        <v>46349</v>
      </c>
      <c r="D50" s="2">
        <v>24280</v>
      </c>
      <c r="E50" s="2">
        <v>24364.1</v>
      </c>
      <c r="F50" s="2">
        <v>24185</v>
      </c>
      <c r="G50" s="2">
        <v>24208.1</v>
      </c>
      <c r="H50" s="2">
        <v>24185</v>
      </c>
      <c r="I50" s="3">
        <v>89700</v>
      </c>
      <c r="J50" s="3"/>
      <c r="K50" s="1">
        <v>46261</v>
      </c>
      <c r="L50" s="1">
        <v>46322</v>
      </c>
      <c r="M50" s="2">
        <v>24598.9</v>
      </c>
      <c r="N50" s="2">
        <v>24598.9</v>
      </c>
      <c r="O50" s="2">
        <v>24388</v>
      </c>
      <c r="P50" s="2">
        <v>24404.5</v>
      </c>
      <c r="Q50" s="2">
        <v>24393</v>
      </c>
      <c r="R50" s="24">
        <f t="shared" si="1"/>
        <v>-6.4123442716391699E-3</v>
      </c>
    </row>
    <row r="51" spans="2:22" outlineLevel="1" x14ac:dyDescent="0.2">
      <c r="B51" s="1">
        <v>46267</v>
      </c>
      <c r="C51" s="1">
        <v>46294</v>
      </c>
      <c r="D51" s="2">
        <v>24000</v>
      </c>
      <c r="E51" s="2">
        <v>24049</v>
      </c>
      <c r="F51" s="2">
        <v>23940</v>
      </c>
      <c r="G51" s="2">
        <v>24000.3</v>
      </c>
      <c r="H51" s="2">
        <v>23994.799999999999</v>
      </c>
      <c r="I51" t="s">
        <v>82</v>
      </c>
      <c r="K51" s="1">
        <v>46262</v>
      </c>
      <c r="L51" s="1">
        <v>46322</v>
      </c>
      <c r="M51" s="2">
        <v>24473.9</v>
      </c>
      <c r="N51" s="2">
        <v>24482.799999999999</v>
      </c>
      <c r="O51" s="2">
        <v>24360.400000000001</v>
      </c>
      <c r="P51" s="2">
        <v>24454.400000000001</v>
      </c>
      <c r="Q51" s="2">
        <v>24460.5</v>
      </c>
      <c r="R51" s="24">
        <f t="shared" si="1"/>
        <v>2.044704870003633E-3</v>
      </c>
    </row>
    <row r="52" spans="2:22" outlineLevel="1" x14ac:dyDescent="0.2">
      <c r="B52" s="1">
        <v>46267</v>
      </c>
      <c r="C52" s="1">
        <v>46322</v>
      </c>
      <c r="D52" s="2">
        <v>24100</v>
      </c>
      <c r="E52" s="2">
        <v>24154</v>
      </c>
      <c r="F52" s="2">
        <v>24050</v>
      </c>
      <c r="G52" s="2">
        <v>24103.200000000001</v>
      </c>
      <c r="H52" s="2">
        <v>24102.2</v>
      </c>
      <c r="I52" t="s">
        <v>83</v>
      </c>
      <c r="K52" s="1">
        <v>46265</v>
      </c>
      <c r="L52" s="1">
        <v>46322</v>
      </c>
      <c r="M52" s="2">
        <v>24401</v>
      </c>
      <c r="N52" s="2">
        <v>24425</v>
      </c>
      <c r="O52" s="2">
        <v>24280.6</v>
      </c>
      <c r="P52" s="2">
        <v>24367.9</v>
      </c>
      <c r="Q52" s="2">
        <v>24361</v>
      </c>
      <c r="R52" s="24">
        <f t="shared" si="1"/>
        <v>-3.537195760272227E-3</v>
      </c>
    </row>
    <row r="53" spans="2:22" outlineLevel="1" x14ac:dyDescent="0.2">
      <c r="B53" s="1">
        <v>46267</v>
      </c>
      <c r="C53" s="1">
        <v>46349</v>
      </c>
      <c r="D53" s="2">
        <v>24255.5</v>
      </c>
      <c r="E53" s="2">
        <v>24265.5</v>
      </c>
      <c r="F53" s="2">
        <v>24162.400000000001</v>
      </c>
      <c r="G53" s="2">
        <v>24212.400000000001</v>
      </c>
      <c r="H53" s="2">
        <v>24208</v>
      </c>
      <c r="I53" t="s">
        <v>84</v>
      </c>
      <c r="K53" s="1">
        <v>46266</v>
      </c>
      <c r="L53" s="1">
        <v>46322</v>
      </c>
      <c r="M53" s="2">
        <v>24361</v>
      </c>
      <c r="N53" s="2">
        <v>24401</v>
      </c>
      <c r="O53" s="2">
        <v>24170.1</v>
      </c>
      <c r="P53" s="2">
        <v>24189.3</v>
      </c>
      <c r="Q53" s="2">
        <v>24200</v>
      </c>
      <c r="R53" s="24">
        <f t="shared" si="1"/>
        <v>-7.3293143849081366E-3</v>
      </c>
    </row>
    <row r="54" spans="2:22" outlineLevel="1" x14ac:dyDescent="0.2">
      <c r="B54" s="1">
        <v>46266</v>
      </c>
      <c r="C54" s="1">
        <v>46322</v>
      </c>
      <c r="D54" s="2">
        <v>24361</v>
      </c>
      <c r="E54" s="2">
        <v>24401</v>
      </c>
      <c r="F54" s="2">
        <v>24170.1</v>
      </c>
      <c r="G54" s="2">
        <v>24189.3</v>
      </c>
      <c r="H54" s="2">
        <v>24200</v>
      </c>
      <c r="I54" t="s">
        <v>85</v>
      </c>
      <c r="K54" s="1">
        <v>46267</v>
      </c>
      <c r="L54" s="1">
        <v>46322</v>
      </c>
      <c r="M54" s="2">
        <v>24100</v>
      </c>
      <c r="N54" s="2">
        <v>24154</v>
      </c>
      <c r="O54" s="2">
        <v>24050</v>
      </c>
      <c r="P54" s="2">
        <v>24103.200000000001</v>
      </c>
      <c r="Q54" s="2">
        <v>24102.2</v>
      </c>
      <c r="R54" s="24">
        <f t="shared" si="1"/>
        <v>-3.5594250350361456E-3</v>
      </c>
    </row>
    <row r="55" spans="2:22" outlineLevel="1" x14ac:dyDescent="0.2">
      <c r="B55" s="1">
        <v>46266</v>
      </c>
      <c r="C55" s="1">
        <v>46294</v>
      </c>
      <c r="D55" s="2">
        <v>24200</v>
      </c>
      <c r="E55" s="2">
        <v>24296.1</v>
      </c>
      <c r="F55" s="2">
        <v>24064</v>
      </c>
      <c r="G55" s="2">
        <v>24090.3</v>
      </c>
      <c r="H55" s="2">
        <v>24081</v>
      </c>
      <c r="I55" t="s">
        <v>86</v>
      </c>
      <c r="K55" s="1">
        <v>46268</v>
      </c>
      <c r="L55" s="1">
        <v>46322</v>
      </c>
      <c r="M55" s="2">
        <v>24179.4</v>
      </c>
      <c r="N55" s="2">
        <v>24254.6</v>
      </c>
      <c r="O55" s="2">
        <v>24078</v>
      </c>
      <c r="P55" s="2">
        <v>24103.599999999999</v>
      </c>
      <c r="Q55" s="2">
        <v>24079.599999999999</v>
      </c>
      <c r="R55" s="24">
        <f t="shared" si="1"/>
        <v>1.6595306847166924E-5</v>
      </c>
    </row>
    <row r="56" spans="2:22" outlineLevel="1" x14ac:dyDescent="0.2">
      <c r="B56" s="1">
        <v>46266</v>
      </c>
      <c r="C56" s="1">
        <v>46349</v>
      </c>
      <c r="D56" s="2">
        <v>24447.7</v>
      </c>
      <c r="E56" s="2">
        <v>24514.799999999999</v>
      </c>
      <c r="F56" s="2">
        <v>24287.599999999999</v>
      </c>
      <c r="G56" s="2">
        <v>24312.799999999999</v>
      </c>
      <c r="H56" s="2">
        <v>24314.1</v>
      </c>
      <c r="I56" t="s">
        <v>87</v>
      </c>
      <c r="K56" s="1">
        <v>46269</v>
      </c>
      <c r="L56" s="1">
        <v>46322</v>
      </c>
      <c r="M56" s="2">
        <v>24119.4</v>
      </c>
      <c r="N56" s="2">
        <v>24221.9</v>
      </c>
      <c r="O56" s="2">
        <v>24119.4</v>
      </c>
      <c r="P56" s="2">
        <v>24149.4</v>
      </c>
      <c r="Q56" s="2">
        <v>24150</v>
      </c>
      <c r="R56" s="24">
        <f t="shared" si="1"/>
        <v>1.9001311007484922E-3</v>
      </c>
    </row>
    <row r="57" spans="2:22" outlineLevel="1" x14ac:dyDescent="0.2">
      <c r="B57" s="1">
        <v>46265</v>
      </c>
      <c r="C57" s="1">
        <v>46322</v>
      </c>
      <c r="D57" s="2">
        <v>24401</v>
      </c>
      <c r="E57" s="2">
        <v>24425</v>
      </c>
      <c r="F57" s="2">
        <v>24280.6</v>
      </c>
      <c r="G57" s="2">
        <v>24367.9</v>
      </c>
      <c r="H57" s="2">
        <v>24361</v>
      </c>
      <c r="I57" t="s">
        <v>88</v>
      </c>
      <c r="K57" s="1">
        <v>46272</v>
      </c>
      <c r="L57" s="1">
        <v>46322</v>
      </c>
      <c r="M57" s="2">
        <v>24100.2</v>
      </c>
      <c r="N57" s="2">
        <v>24100.2</v>
      </c>
      <c r="O57" s="2">
        <v>23960</v>
      </c>
      <c r="P57" s="2">
        <v>23975.8</v>
      </c>
      <c r="Q57" s="2">
        <v>23971</v>
      </c>
      <c r="R57" s="24">
        <f t="shared" si="1"/>
        <v>-7.1885843954716533E-3</v>
      </c>
    </row>
    <row r="58" spans="2:22" outlineLevel="1" x14ac:dyDescent="0.2">
      <c r="B58" s="1">
        <v>46265</v>
      </c>
      <c r="C58" s="1">
        <v>46349</v>
      </c>
      <c r="D58" s="2">
        <v>24500</v>
      </c>
      <c r="E58" s="2">
        <v>24544.9</v>
      </c>
      <c r="F58" s="2">
        <v>24391.4</v>
      </c>
      <c r="G58" s="2">
        <v>24487.599999999999</v>
      </c>
      <c r="H58" s="2">
        <v>24471.200000000001</v>
      </c>
      <c r="I58" s="3">
        <v>90675</v>
      </c>
      <c r="J58" s="3"/>
      <c r="K58" s="1">
        <v>46273</v>
      </c>
      <c r="L58" s="1">
        <v>46322</v>
      </c>
      <c r="M58" s="2">
        <v>23971</v>
      </c>
      <c r="N58" s="2">
        <v>23971</v>
      </c>
      <c r="O58" s="2">
        <v>23830</v>
      </c>
      <c r="P58" s="2">
        <v>23850.6</v>
      </c>
      <c r="Q58" s="2">
        <v>23850</v>
      </c>
      <c r="R58" s="24">
        <f t="shared" si="1"/>
        <v>-5.2219321148825326E-3</v>
      </c>
    </row>
    <row r="59" spans="2:22" outlineLevel="1" x14ac:dyDescent="0.2">
      <c r="B59" s="1">
        <v>46265</v>
      </c>
      <c r="C59" s="1">
        <v>46294</v>
      </c>
      <c r="D59" s="2">
        <v>24244</v>
      </c>
      <c r="E59" s="2">
        <v>24319</v>
      </c>
      <c r="F59" s="2">
        <v>24171</v>
      </c>
      <c r="G59" s="2">
        <v>24251.4</v>
      </c>
      <c r="H59" s="2">
        <v>24245</v>
      </c>
      <c r="I59" t="s">
        <v>89</v>
      </c>
      <c r="K59" s="1">
        <v>46274</v>
      </c>
      <c r="L59" s="1">
        <v>46322</v>
      </c>
      <c r="M59" s="2">
        <v>23786</v>
      </c>
      <c r="N59" s="2">
        <v>23786</v>
      </c>
      <c r="O59" s="2">
        <v>23629</v>
      </c>
      <c r="P59" s="2">
        <v>23660.2</v>
      </c>
      <c r="Q59" s="2">
        <v>23629</v>
      </c>
      <c r="R59" s="24">
        <f t="shared" si="1"/>
        <v>-7.9830276806452938E-3</v>
      </c>
    </row>
    <row r="60" spans="2:22" outlineLevel="1" x14ac:dyDescent="0.2">
      <c r="B60" s="1">
        <v>46262</v>
      </c>
      <c r="C60" s="1">
        <v>46322</v>
      </c>
      <c r="D60" s="2">
        <v>24473.9</v>
      </c>
      <c r="E60" s="2">
        <v>24482.799999999999</v>
      </c>
      <c r="F60" s="2">
        <v>24360.400000000001</v>
      </c>
      <c r="G60" s="2">
        <v>24454.400000000001</v>
      </c>
      <c r="H60" s="2">
        <v>24460.5</v>
      </c>
      <c r="I60" t="s">
        <v>90</v>
      </c>
      <c r="K60" s="1">
        <v>46275</v>
      </c>
      <c r="L60" s="1">
        <v>46322</v>
      </c>
      <c r="M60" s="2">
        <v>23622.799999999999</v>
      </c>
      <c r="N60" s="2">
        <v>23668.9</v>
      </c>
      <c r="O60" s="2">
        <v>23560</v>
      </c>
      <c r="P60" s="2">
        <v>23584</v>
      </c>
      <c r="Q60" s="2">
        <v>23604</v>
      </c>
      <c r="R60" s="24">
        <f t="shared" si="1"/>
        <v>-3.2205983043254172E-3</v>
      </c>
    </row>
    <row r="61" spans="2:22" outlineLevel="1" x14ac:dyDescent="0.2">
      <c r="B61" s="1">
        <v>46262</v>
      </c>
      <c r="C61" s="1">
        <v>46294</v>
      </c>
      <c r="D61" s="2">
        <v>24292.7</v>
      </c>
      <c r="E61" s="2">
        <v>24380.2</v>
      </c>
      <c r="F61" s="2">
        <v>24250</v>
      </c>
      <c r="G61" s="2">
        <v>24341.9</v>
      </c>
      <c r="H61" s="2">
        <v>24349</v>
      </c>
      <c r="I61" t="s">
        <v>91</v>
      </c>
      <c r="K61" s="1">
        <v>46276</v>
      </c>
      <c r="L61" s="1">
        <v>46322</v>
      </c>
      <c r="M61" s="2">
        <v>23466.1</v>
      </c>
      <c r="N61" s="2">
        <v>23617.599999999999</v>
      </c>
      <c r="O61" s="2">
        <v>23388.3</v>
      </c>
      <c r="P61" s="2">
        <v>23586.6</v>
      </c>
      <c r="Q61" s="2">
        <v>23604</v>
      </c>
      <c r="R61" s="24">
        <f t="shared" si="1"/>
        <v>1.1024423337846478E-4</v>
      </c>
    </row>
    <row r="62" spans="2:22" outlineLevel="1" x14ac:dyDescent="0.2">
      <c r="B62" s="1">
        <v>46262</v>
      </c>
      <c r="C62" s="1">
        <v>46349</v>
      </c>
      <c r="D62" s="2">
        <v>24525.1</v>
      </c>
      <c r="E62" s="2">
        <v>24600</v>
      </c>
      <c r="F62" s="2">
        <v>24483.1</v>
      </c>
      <c r="G62" s="2">
        <v>24570.7</v>
      </c>
      <c r="H62" s="2">
        <v>24578</v>
      </c>
      <c r="I62" s="3">
        <v>65780</v>
      </c>
      <c r="J62" s="3"/>
      <c r="K62" s="17"/>
      <c r="L62" s="17"/>
      <c r="M62" s="17"/>
      <c r="N62" s="18"/>
      <c r="O62" s="19"/>
      <c r="P62" s="17"/>
      <c r="Q62" s="17"/>
      <c r="R62" s="19"/>
      <c r="S62" s="17"/>
      <c r="T62" s="17"/>
      <c r="U62" s="17"/>
      <c r="V62" s="17"/>
    </row>
    <row r="63" spans="2:22" outlineLevel="1" x14ac:dyDescent="0.2">
      <c r="B63" s="1">
        <v>46261</v>
      </c>
      <c r="C63" s="1">
        <v>46322</v>
      </c>
      <c r="D63" s="2">
        <v>24598.9</v>
      </c>
      <c r="E63" s="2">
        <v>24598.9</v>
      </c>
      <c r="F63" s="2">
        <v>24388</v>
      </c>
      <c r="G63" s="2">
        <v>24404.5</v>
      </c>
      <c r="H63" s="2">
        <v>24393</v>
      </c>
      <c r="I63" t="s">
        <v>92</v>
      </c>
      <c r="N63" s="3"/>
      <c r="O63" s="10"/>
      <c r="R63" s="10"/>
    </row>
    <row r="64" spans="2:22" outlineLevel="1" x14ac:dyDescent="0.2">
      <c r="B64" s="1">
        <v>46261</v>
      </c>
      <c r="C64" s="1">
        <v>46349</v>
      </c>
      <c r="D64" s="2">
        <v>24650</v>
      </c>
      <c r="E64" s="2">
        <v>24680</v>
      </c>
      <c r="F64" s="2">
        <v>24501</v>
      </c>
      <c r="G64" s="2">
        <v>24525.200000000001</v>
      </c>
      <c r="H64" s="2">
        <v>24507.1</v>
      </c>
      <c r="I64" t="s">
        <v>93</v>
      </c>
      <c r="O64" s="10"/>
      <c r="R64" s="10"/>
    </row>
    <row r="65" spans="1:22" outlineLevel="1" x14ac:dyDescent="0.2">
      <c r="B65" s="1">
        <v>46261</v>
      </c>
      <c r="C65" s="1">
        <v>46294</v>
      </c>
      <c r="D65" s="2">
        <v>24399.5</v>
      </c>
      <c r="E65" s="2">
        <v>24430</v>
      </c>
      <c r="F65" s="2">
        <v>24260</v>
      </c>
      <c r="G65" s="2">
        <v>24281.9</v>
      </c>
      <c r="H65" s="2">
        <v>24266</v>
      </c>
      <c r="I65" t="s">
        <v>94</v>
      </c>
      <c r="K65" s="1">
        <v>46260</v>
      </c>
      <c r="L65" s="1">
        <v>46349</v>
      </c>
      <c r="M65" s="2">
        <v>24649.5</v>
      </c>
      <c r="N65" s="2">
        <v>24825</v>
      </c>
      <c r="O65" s="2">
        <v>24649.5</v>
      </c>
      <c r="P65" s="2">
        <v>24682.7</v>
      </c>
      <c r="Q65" s="2">
        <v>24665</v>
      </c>
      <c r="R65" s="10"/>
    </row>
    <row r="66" spans="1:22" outlineLevel="1" x14ac:dyDescent="0.2">
      <c r="B66" s="1">
        <v>46260</v>
      </c>
      <c r="C66" s="1">
        <v>46349</v>
      </c>
      <c r="D66" s="2">
        <v>24649.5</v>
      </c>
      <c r="E66" s="2">
        <v>24825</v>
      </c>
      <c r="F66" s="2">
        <v>24649.5</v>
      </c>
      <c r="G66" s="2">
        <v>24682.7</v>
      </c>
      <c r="H66" s="2">
        <v>24665</v>
      </c>
      <c r="I66" s="3">
        <v>91325</v>
      </c>
      <c r="J66" s="3"/>
      <c r="K66" s="1">
        <v>46261</v>
      </c>
      <c r="L66" s="1">
        <v>46349</v>
      </c>
      <c r="M66" s="2">
        <v>24650</v>
      </c>
      <c r="N66" s="2">
        <v>24680</v>
      </c>
      <c r="O66" s="2">
        <v>24501</v>
      </c>
      <c r="P66" s="2">
        <v>24525.200000000001</v>
      </c>
      <c r="Q66" s="2">
        <v>24507.1</v>
      </c>
      <c r="R66" s="24">
        <f t="shared" si="1"/>
        <v>-6.380987493264545E-3</v>
      </c>
      <c r="S66" s="28">
        <f>AVERAGE(R66:R77)</f>
        <v>-3.4231449844082016E-3</v>
      </c>
      <c r="T66" s="29">
        <f>_xlfn.STDEV.S(R66:R77)</f>
        <v>3.5625002015558008E-3</v>
      </c>
      <c r="U66" s="29">
        <f>(P77-P65)/P65</f>
        <v>-4.0380509425630123E-2</v>
      </c>
    </row>
    <row r="67" spans="1:22" outlineLevel="1" x14ac:dyDescent="0.2">
      <c r="B67" s="1">
        <v>46260</v>
      </c>
      <c r="C67" s="1">
        <v>46294</v>
      </c>
      <c r="D67" s="2">
        <v>24540</v>
      </c>
      <c r="E67" s="2">
        <v>24573.5</v>
      </c>
      <c r="F67" s="2">
        <v>24405.1</v>
      </c>
      <c r="G67" s="2">
        <v>24429.1</v>
      </c>
      <c r="H67" s="2">
        <v>24420</v>
      </c>
      <c r="I67" t="s">
        <v>95</v>
      </c>
      <c r="K67" s="1">
        <v>46262</v>
      </c>
      <c r="L67" s="1">
        <v>46349</v>
      </c>
      <c r="M67" s="2">
        <v>24525.1</v>
      </c>
      <c r="N67" s="2">
        <v>24600</v>
      </c>
      <c r="O67" s="2">
        <v>24483.1</v>
      </c>
      <c r="P67" s="2">
        <v>24570.7</v>
      </c>
      <c r="Q67" s="2">
        <v>24578</v>
      </c>
      <c r="R67" s="24">
        <f t="shared" si="1"/>
        <v>1.8552346158238198E-3</v>
      </c>
    </row>
    <row r="68" spans="1:22" outlineLevel="1" x14ac:dyDescent="0.2">
      <c r="B68" s="1">
        <v>46260</v>
      </c>
      <c r="C68" s="1">
        <v>46322</v>
      </c>
      <c r="D68" s="2">
        <v>24600.1</v>
      </c>
      <c r="E68" s="2">
        <v>24689</v>
      </c>
      <c r="F68" s="2">
        <v>24540</v>
      </c>
      <c r="G68" s="2">
        <v>24562</v>
      </c>
      <c r="H68" s="2">
        <v>24553.5</v>
      </c>
      <c r="I68" t="s">
        <v>96</v>
      </c>
      <c r="K68" s="1">
        <v>46265</v>
      </c>
      <c r="L68" s="1">
        <v>46349</v>
      </c>
      <c r="M68" s="2">
        <v>24500</v>
      </c>
      <c r="N68" s="2">
        <v>24544.9</v>
      </c>
      <c r="O68" s="2">
        <v>24391.4</v>
      </c>
      <c r="P68" s="2">
        <v>24487.599999999999</v>
      </c>
      <c r="Q68" s="2">
        <v>24471.200000000001</v>
      </c>
      <c r="R68" s="24">
        <f t="shared" si="1"/>
        <v>-3.382077026702679E-3</v>
      </c>
    </row>
    <row r="69" spans="1:22" outlineLevel="1" x14ac:dyDescent="0.2">
      <c r="B69" s="1">
        <v>46259</v>
      </c>
      <c r="C69" s="1">
        <v>46294</v>
      </c>
      <c r="D69" s="2">
        <v>24320</v>
      </c>
      <c r="E69" s="2">
        <v>24496</v>
      </c>
      <c r="F69" s="2">
        <v>24260</v>
      </c>
      <c r="G69" s="2">
        <v>24471.7</v>
      </c>
      <c r="H69" s="2">
        <v>24485.200000000001</v>
      </c>
      <c r="I69" t="s">
        <v>97</v>
      </c>
      <c r="K69" s="1">
        <v>46266</v>
      </c>
      <c r="L69" s="1">
        <v>46349</v>
      </c>
      <c r="M69" s="2">
        <v>24447.7</v>
      </c>
      <c r="N69" s="2">
        <v>24514.799999999999</v>
      </c>
      <c r="O69" s="2">
        <v>24287.599999999999</v>
      </c>
      <c r="P69" s="2">
        <v>24312.799999999999</v>
      </c>
      <c r="Q69" s="2">
        <v>24314.1</v>
      </c>
      <c r="R69" s="24">
        <f t="shared" si="1"/>
        <v>-7.1383067348371743E-3</v>
      </c>
    </row>
    <row r="70" spans="1:22" outlineLevel="1" x14ac:dyDescent="0.2">
      <c r="B70" s="1">
        <v>46259</v>
      </c>
      <c r="C70" s="1">
        <v>46322</v>
      </c>
      <c r="D70" s="2">
        <v>24441.9</v>
      </c>
      <c r="E70" s="2">
        <v>24611.200000000001</v>
      </c>
      <c r="F70" s="2">
        <v>24376.1</v>
      </c>
      <c r="G70" s="2">
        <v>24590.400000000001</v>
      </c>
      <c r="H70" s="2">
        <v>24611.200000000001</v>
      </c>
      <c r="I70" t="s">
        <v>98</v>
      </c>
      <c r="K70" s="1">
        <v>46267</v>
      </c>
      <c r="L70" s="1">
        <v>46349</v>
      </c>
      <c r="M70" s="2">
        <v>24255.5</v>
      </c>
      <c r="N70" s="2">
        <v>24265.5</v>
      </c>
      <c r="O70" s="2">
        <v>24162.400000000001</v>
      </c>
      <c r="P70" s="2">
        <v>24212.400000000001</v>
      </c>
      <c r="Q70" s="2">
        <v>24208</v>
      </c>
      <c r="R70" s="24">
        <f t="shared" si="1"/>
        <v>-4.1295120265867347E-3</v>
      </c>
    </row>
    <row r="71" spans="1:22" outlineLevel="1" x14ac:dyDescent="0.2">
      <c r="B71" s="1">
        <v>46259</v>
      </c>
      <c r="C71" s="1">
        <v>46259</v>
      </c>
      <c r="D71" s="2">
        <v>24176</v>
      </c>
      <c r="E71" s="2">
        <v>24347</v>
      </c>
      <c r="F71" s="2">
        <v>24132.9</v>
      </c>
      <c r="G71" s="2">
        <v>24288.1</v>
      </c>
      <c r="H71" s="2">
        <v>24333.5</v>
      </c>
      <c r="I71" t="s">
        <v>99</v>
      </c>
      <c r="K71" s="1">
        <v>46268</v>
      </c>
      <c r="L71" s="1">
        <v>46349</v>
      </c>
      <c r="M71" s="2">
        <v>24280</v>
      </c>
      <c r="N71" s="2">
        <v>24364.1</v>
      </c>
      <c r="O71" s="2">
        <v>24185</v>
      </c>
      <c r="P71" s="2">
        <v>24208.1</v>
      </c>
      <c r="Q71" s="2">
        <v>24185</v>
      </c>
      <c r="R71" s="24">
        <f t="shared" si="1"/>
        <v>-1.7759495134739289E-4</v>
      </c>
    </row>
    <row r="72" spans="1:22" outlineLevel="1" x14ac:dyDescent="0.2">
      <c r="B72" s="1">
        <v>46258</v>
      </c>
      <c r="C72" s="1">
        <v>46294</v>
      </c>
      <c r="D72" s="2">
        <v>24475</v>
      </c>
      <c r="E72" s="2">
        <v>24475</v>
      </c>
      <c r="F72" s="2">
        <v>24287.1</v>
      </c>
      <c r="G72" s="2">
        <v>24324.1</v>
      </c>
      <c r="H72" s="2">
        <v>24319.1</v>
      </c>
      <c r="I72" t="s">
        <v>100</v>
      </c>
      <c r="K72" s="1">
        <v>46269</v>
      </c>
      <c r="L72" s="1">
        <v>46349</v>
      </c>
      <c r="M72" s="2">
        <v>24300</v>
      </c>
      <c r="N72" s="2">
        <v>24330</v>
      </c>
      <c r="O72" s="2">
        <v>24225.9</v>
      </c>
      <c r="P72" s="2">
        <v>24262</v>
      </c>
      <c r="Q72" s="2">
        <v>24266.7</v>
      </c>
      <c r="R72" s="24">
        <f t="shared" si="1"/>
        <v>2.2265274846022809E-3</v>
      </c>
    </row>
    <row r="73" spans="1:22" outlineLevel="1" x14ac:dyDescent="0.2">
      <c r="B73" s="1">
        <v>46258</v>
      </c>
      <c r="C73" s="1">
        <v>46259</v>
      </c>
      <c r="D73" s="2">
        <v>24341.5</v>
      </c>
      <c r="E73" s="2">
        <v>24347.9</v>
      </c>
      <c r="F73" s="2">
        <v>24173.599999999999</v>
      </c>
      <c r="G73" s="2">
        <v>24209.599999999999</v>
      </c>
      <c r="H73" s="2">
        <v>24188.1</v>
      </c>
      <c r="I73" t="s">
        <v>101</v>
      </c>
      <c r="K73" s="1">
        <v>46272</v>
      </c>
      <c r="L73" s="1">
        <v>46349</v>
      </c>
      <c r="M73" s="2">
        <v>24235.1</v>
      </c>
      <c r="N73" s="2">
        <v>24235.1</v>
      </c>
      <c r="O73" s="2">
        <v>24070.3</v>
      </c>
      <c r="P73" s="2">
        <v>24082.799999999999</v>
      </c>
      <c r="Q73" s="2">
        <v>24079.599999999999</v>
      </c>
      <c r="R73" s="24">
        <f t="shared" si="1"/>
        <v>-7.3860357761108553E-3</v>
      </c>
    </row>
    <row r="74" spans="1:22" outlineLevel="1" x14ac:dyDescent="0.2">
      <c r="B74" s="1">
        <v>46258</v>
      </c>
      <c r="C74" s="1">
        <v>46322</v>
      </c>
      <c r="D74" s="2">
        <v>24585</v>
      </c>
      <c r="E74" s="2">
        <v>24585</v>
      </c>
      <c r="F74" s="2">
        <v>24411</v>
      </c>
      <c r="G74" s="2">
        <v>24441.9</v>
      </c>
      <c r="H74" s="2">
        <v>24428.799999999999</v>
      </c>
      <c r="I74" t="s">
        <v>102</v>
      </c>
      <c r="K74" s="1">
        <v>46273</v>
      </c>
      <c r="L74" s="1">
        <v>46349</v>
      </c>
      <c r="M74" s="2">
        <v>24050</v>
      </c>
      <c r="N74" s="2">
        <v>24050.1</v>
      </c>
      <c r="O74" s="2">
        <v>23937</v>
      </c>
      <c r="P74" s="2">
        <v>23951.599999999999</v>
      </c>
      <c r="Q74" s="2">
        <v>23955</v>
      </c>
      <c r="R74" s="24">
        <f t="shared" si="1"/>
        <v>-5.4478715099572916E-3</v>
      </c>
    </row>
    <row r="75" spans="1:22" outlineLevel="1" x14ac:dyDescent="0.2">
      <c r="B75" s="1"/>
      <c r="D75" s="2"/>
      <c r="E75" s="2"/>
      <c r="F75" s="2"/>
      <c r="G75" s="2"/>
      <c r="H75" s="2"/>
      <c r="I75" s="2"/>
      <c r="J75" s="2"/>
      <c r="K75" s="1">
        <v>46274</v>
      </c>
      <c r="L75" s="1">
        <v>46349</v>
      </c>
      <c r="M75" s="2">
        <v>23944.9</v>
      </c>
      <c r="N75" s="2">
        <v>23944.9</v>
      </c>
      <c r="O75" s="2">
        <v>23730</v>
      </c>
      <c r="P75" s="2">
        <v>23768.6</v>
      </c>
      <c r="Q75" s="2">
        <v>23730</v>
      </c>
      <c r="R75" s="24">
        <f t="shared" si="1"/>
        <v>-7.6404081564488413E-3</v>
      </c>
    </row>
    <row r="76" spans="1:22" outlineLevel="1" x14ac:dyDescent="0.2">
      <c r="B76" s="1"/>
      <c r="D76" s="2"/>
      <c r="E76" s="2"/>
      <c r="F76" s="2"/>
      <c r="G76" s="2"/>
      <c r="H76" s="2"/>
      <c r="I76" s="2"/>
      <c r="J76" s="2"/>
      <c r="K76" s="1">
        <v>46275</v>
      </c>
      <c r="L76" s="1">
        <v>46349</v>
      </c>
      <c r="M76" s="2">
        <v>23779.9</v>
      </c>
      <c r="N76" s="2">
        <v>23779.9</v>
      </c>
      <c r="O76" s="2">
        <v>23663.5</v>
      </c>
      <c r="P76" s="2">
        <v>23698.3</v>
      </c>
      <c r="Q76" s="2">
        <v>23700</v>
      </c>
      <c r="R76" s="24">
        <f t="shared" si="1"/>
        <v>-2.9576836666862505E-3</v>
      </c>
    </row>
    <row r="77" spans="1:22" outlineLevel="1" x14ac:dyDescent="0.2">
      <c r="B77" s="1"/>
      <c r="D77" s="2"/>
      <c r="E77" s="2"/>
      <c r="F77" s="2"/>
      <c r="G77" s="2"/>
      <c r="H77" s="2"/>
      <c r="I77" s="2"/>
      <c r="J77" s="2"/>
      <c r="K77" s="1">
        <v>46276</v>
      </c>
      <c r="L77" s="1">
        <v>46349</v>
      </c>
      <c r="M77" s="2">
        <v>23568.3</v>
      </c>
      <c r="N77" s="2">
        <v>23712</v>
      </c>
      <c r="O77" s="2">
        <v>23493</v>
      </c>
      <c r="P77" s="2">
        <v>23686</v>
      </c>
      <c r="Q77" s="2">
        <v>23700</v>
      </c>
      <c r="R77" s="24">
        <f t="shared" si="1"/>
        <v>-5.1902457138275349E-4</v>
      </c>
    </row>
    <row r="78" spans="1:22" x14ac:dyDescent="0.2">
      <c r="A78" s="17"/>
      <c r="B78" s="21"/>
      <c r="C78" s="17"/>
      <c r="D78" s="20"/>
      <c r="E78" s="20"/>
      <c r="F78" s="20"/>
      <c r="G78" s="20"/>
      <c r="H78" s="20"/>
      <c r="I78" s="20"/>
      <c r="J78" s="20"/>
      <c r="K78" s="20"/>
      <c r="L78" s="20"/>
      <c r="M78" s="17"/>
      <c r="N78" s="17"/>
      <c r="O78" s="18"/>
      <c r="P78" s="17"/>
      <c r="Q78" s="19"/>
      <c r="R78" s="17"/>
      <c r="S78" s="17"/>
      <c r="T78" s="17"/>
      <c r="U78" s="17"/>
      <c r="V78" s="17"/>
    </row>
    <row r="79" spans="1:22" x14ac:dyDescent="0.2">
      <c r="B79" s="1"/>
      <c r="D79" s="2"/>
      <c r="E79" s="2"/>
      <c r="F79" s="2"/>
      <c r="G79" s="2"/>
      <c r="H79" s="2"/>
      <c r="I79" s="2"/>
      <c r="J79" s="2"/>
      <c r="K79" s="2"/>
      <c r="L79" s="2"/>
      <c r="O79" s="3"/>
      <c r="Q79" s="10"/>
    </row>
    <row r="80" spans="1:22" x14ac:dyDescent="0.2">
      <c r="B80" s="1"/>
      <c r="D80" s="2"/>
      <c r="E80" s="2"/>
      <c r="F80" s="2"/>
      <c r="G80" s="2"/>
      <c r="H80" s="2"/>
      <c r="I80" s="2"/>
      <c r="J80" s="2"/>
      <c r="K80" s="2"/>
      <c r="L80" s="2"/>
      <c r="O80" s="3"/>
      <c r="Q80" s="10"/>
    </row>
    <row r="81" spans="2:17" x14ac:dyDescent="0.2">
      <c r="B81" s="1"/>
      <c r="D81" s="2"/>
      <c r="E81" s="2"/>
      <c r="F81" s="2"/>
      <c r="G81" s="2"/>
      <c r="H81" s="2"/>
      <c r="I81" s="2"/>
      <c r="J81" s="2"/>
      <c r="K81" s="2"/>
      <c r="L81" s="2"/>
      <c r="Q81" s="10"/>
    </row>
    <row r="82" spans="2:17" x14ac:dyDescent="0.2">
      <c r="B82" s="1"/>
      <c r="D82" s="2"/>
      <c r="E82" s="2"/>
      <c r="F82" s="2"/>
      <c r="G82" s="2"/>
      <c r="H82" s="2"/>
      <c r="I82" s="2"/>
      <c r="J82" s="2"/>
      <c r="K82" s="2"/>
      <c r="L82" s="2"/>
      <c r="Q82" s="10"/>
    </row>
    <row r="83" spans="2:17" x14ac:dyDescent="0.2">
      <c r="B83" s="1"/>
      <c r="D83" s="2"/>
      <c r="E83" s="2"/>
      <c r="F83" s="2"/>
      <c r="G83" s="2"/>
      <c r="H83" s="2"/>
      <c r="I83" s="2"/>
      <c r="J83" s="2"/>
      <c r="K83" s="2"/>
      <c r="L83" s="2"/>
      <c r="O83" s="3"/>
      <c r="Q83" s="10"/>
    </row>
    <row r="84" spans="2:17" x14ac:dyDescent="0.2">
      <c r="B84" s="1"/>
      <c r="D84" s="2"/>
      <c r="E84" s="2"/>
      <c r="F84" s="2"/>
      <c r="G84" s="2"/>
      <c r="H84" s="2"/>
      <c r="I84" s="2"/>
      <c r="J84" s="2"/>
      <c r="K84" s="2"/>
      <c r="L84" s="2"/>
      <c r="Q84" s="10"/>
    </row>
    <row r="85" spans="2:17" x14ac:dyDescent="0.2">
      <c r="B85" s="1"/>
      <c r="D85" s="2"/>
      <c r="E85" s="2"/>
      <c r="F85" s="2"/>
      <c r="G85" s="2"/>
      <c r="H85" s="2"/>
      <c r="I85" s="2"/>
      <c r="J85" s="2"/>
      <c r="K85" s="2"/>
      <c r="L85" s="2"/>
      <c r="O85" s="3"/>
      <c r="Q85" s="10"/>
    </row>
    <row r="86" spans="2:17" x14ac:dyDescent="0.2">
      <c r="B86" s="1"/>
      <c r="D86" s="2"/>
      <c r="E86" s="2"/>
      <c r="F86" s="2"/>
      <c r="G86" s="2"/>
      <c r="H86" s="2"/>
      <c r="I86" s="2"/>
      <c r="J86" s="2"/>
      <c r="K86" s="2"/>
      <c r="L86" s="2"/>
      <c r="O86" s="3"/>
      <c r="Q86" s="10"/>
    </row>
    <row r="87" spans="2:17" x14ac:dyDescent="0.2">
      <c r="B87" s="1"/>
      <c r="D87" s="2"/>
      <c r="E87" s="2"/>
      <c r="F87" s="2"/>
      <c r="G87" s="2"/>
      <c r="H87" s="2"/>
      <c r="I87" s="2"/>
      <c r="J87" s="2"/>
      <c r="K87" s="2"/>
      <c r="L87" s="2"/>
      <c r="O87" s="3"/>
      <c r="Q87" s="10"/>
    </row>
    <row r="88" spans="2:17" x14ac:dyDescent="0.2">
      <c r="B88" s="1"/>
      <c r="D88" s="2"/>
      <c r="E88" s="2"/>
      <c r="F88" s="2"/>
      <c r="G88" s="2"/>
      <c r="H88" s="2"/>
      <c r="I88" s="2"/>
      <c r="J88" s="2"/>
      <c r="K88" s="2"/>
      <c r="L88" s="2"/>
      <c r="O88" s="3"/>
      <c r="Q88" s="10"/>
    </row>
    <row r="89" spans="2:17" x14ac:dyDescent="0.2">
      <c r="B89" s="1"/>
      <c r="D89" s="2"/>
      <c r="E89" s="2"/>
      <c r="F89" s="2"/>
      <c r="G89" s="2"/>
      <c r="H89" s="2"/>
      <c r="I89" s="2"/>
      <c r="J89" s="2"/>
      <c r="K89" s="2"/>
      <c r="L89" s="2"/>
      <c r="O89" s="3"/>
      <c r="Q89" s="10"/>
    </row>
    <row r="90" spans="2:17" x14ac:dyDescent="0.2">
      <c r="B90" s="1"/>
      <c r="D90" s="2"/>
      <c r="E90" s="2"/>
      <c r="F90" s="2"/>
      <c r="G90" s="2"/>
      <c r="H90" s="2"/>
      <c r="I90" s="2"/>
      <c r="J90" s="2"/>
      <c r="K90" s="2"/>
      <c r="L90" s="2"/>
      <c r="O90" s="3"/>
      <c r="Q90" s="10"/>
    </row>
    <row r="91" spans="2:17" x14ac:dyDescent="0.2">
      <c r="B91" s="1"/>
      <c r="D91" s="2"/>
      <c r="E91" s="2"/>
      <c r="F91" s="2"/>
      <c r="G91" s="2"/>
      <c r="H91" s="2"/>
      <c r="I91" s="2"/>
      <c r="J91" s="2"/>
      <c r="K91" s="2"/>
      <c r="L91" s="2"/>
      <c r="O91" s="3"/>
      <c r="Q91" s="10"/>
    </row>
    <row r="92" spans="2:17" x14ac:dyDescent="0.2">
      <c r="B92" s="1"/>
      <c r="D92" s="2"/>
      <c r="E92" s="2"/>
      <c r="F92" s="2"/>
      <c r="G92" s="2"/>
      <c r="H92" s="2"/>
      <c r="I92" s="2"/>
      <c r="J92" s="2"/>
      <c r="K92" s="2"/>
      <c r="L92" s="2"/>
      <c r="O92" s="3"/>
      <c r="Q92" s="10"/>
    </row>
    <row r="93" spans="2:17" x14ac:dyDescent="0.2">
      <c r="B93" s="1"/>
      <c r="D93" s="2"/>
      <c r="E93" s="2"/>
      <c r="F93" s="2"/>
      <c r="G93" s="2"/>
      <c r="H93" s="2"/>
      <c r="I93" s="2"/>
      <c r="J93" s="2"/>
      <c r="K93" s="2"/>
      <c r="L93" s="2"/>
      <c r="O93" s="3"/>
      <c r="Q93" s="10"/>
    </row>
    <row r="94" spans="2:17" x14ac:dyDescent="0.2">
      <c r="B94" s="1"/>
      <c r="D94" s="2"/>
      <c r="E94" s="2"/>
      <c r="F94" s="2"/>
      <c r="G94" s="2"/>
      <c r="H94" s="2"/>
      <c r="I94" s="2"/>
      <c r="J94" s="2"/>
      <c r="K94" s="2"/>
      <c r="L94" s="2"/>
      <c r="O94" s="3"/>
      <c r="Q94" s="10"/>
    </row>
    <row r="95" spans="2:17" x14ac:dyDescent="0.2">
      <c r="B95" s="1"/>
      <c r="D95" s="2"/>
      <c r="E95" s="2"/>
      <c r="F95" s="2"/>
      <c r="G95" s="2"/>
      <c r="H95" s="2"/>
      <c r="I95" s="2"/>
      <c r="J95" s="2"/>
      <c r="K95" s="2"/>
      <c r="L95" s="2"/>
      <c r="O95" s="3"/>
      <c r="Q95" s="10"/>
    </row>
    <row r="96" spans="2:17" x14ac:dyDescent="0.2">
      <c r="B96" s="1"/>
      <c r="D96" s="2"/>
      <c r="E96" s="2"/>
      <c r="F96" s="2"/>
      <c r="G96" s="2"/>
      <c r="H96" s="2"/>
      <c r="I96" s="2"/>
      <c r="J96" s="2"/>
      <c r="K96" s="2"/>
      <c r="L96" s="2"/>
      <c r="Q96" s="10"/>
    </row>
    <row r="97" spans="2:17" x14ac:dyDescent="0.2">
      <c r="B97" s="1"/>
      <c r="D97" s="2"/>
      <c r="E97" s="2"/>
      <c r="F97" s="2"/>
      <c r="G97" s="2"/>
      <c r="H97" s="2"/>
      <c r="I97" s="2"/>
      <c r="J97" s="2"/>
      <c r="K97" s="2"/>
      <c r="L97" s="2"/>
      <c r="Q97" s="10"/>
    </row>
    <row r="98" spans="2:17" x14ac:dyDescent="0.2">
      <c r="B98" s="1"/>
      <c r="D98" s="2"/>
      <c r="E98" s="2"/>
      <c r="F98" s="2"/>
      <c r="G98" s="2"/>
      <c r="H98" s="2"/>
      <c r="I98" s="2"/>
      <c r="J98" s="2"/>
      <c r="K98" s="2"/>
      <c r="L98" s="2"/>
      <c r="Q98" s="10"/>
    </row>
    <row r="99" spans="2:17" x14ac:dyDescent="0.2">
      <c r="B99" s="1"/>
      <c r="D99" s="2"/>
      <c r="E99" s="2"/>
      <c r="F99" s="2"/>
      <c r="G99" s="2"/>
      <c r="H99" s="2"/>
      <c r="I99" s="2"/>
      <c r="J99" s="2"/>
      <c r="K99" s="2"/>
      <c r="L99" s="2"/>
      <c r="Q99" s="10"/>
    </row>
    <row r="100" spans="2:17" x14ac:dyDescent="0.2">
      <c r="B100" s="1"/>
      <c r="D100" s="2"/>
      <c r="E100" s="2"/>
      <c r="F100" s="2"/>
      <c r="G100" s="2"/>
      <c r="H100" s="2"/>
      <c r="I100" s="2"/>
      <c r="J100" s="2"/>
      <c r="K100" s="2"/>
      <c r="L100" s="2"/>
      <c r="O100" s="3"/>
      <c r="Q100" s="10"/>
    </row>
    <row r="101" spans="2:17" x14ac:dyDescent="0.2">
      <c r="B101" s="1"/>
      <c r="D101" s="2"/>
      <c r="E101" s="2"/>
      <c r="F101" s="2"/>
      <c r="G101" s="2"/>
      <c r="H101" s="2"/>
      <c r="I101" s="2"/>
      <c r="J101" s="2"/>
      <c r="K101" s="2"/>
      <c r="L101" s="2"/>
      <c r="O101" s="3"/>
      <c r="Q101" s="10"/>
    </row>
    <row r="102" spans="2:17" x14ac:dyDescent="0.2">
      <c r="B102" s="1"/>
      <c r="D102" s="2"/>
      <c r="E102" s="2"/>
      <c r="F102" s="2"/>
      <c r="G102" s="2"/>
      <c r="H102" s="2"/>
      <c r="I102" s="2"/>
      <c r="J102" s="2"/>
      <c r="K102" s="2"/>
      <c r="L102" s="2"/>
      <c r="O102" s="3"/>
      <c r="Q102" s="10"/>
    </row>
    <row r="103" spans="2:17" x14ac:dyDescent="0.2">
      <c r="B103" s="1"/>
      <c r="D103" s="2"/>
      <c r="E103" s="2"/>
      <c r="F103" s="2"/>
      <c r="G103" s="2"/>
      <c r="H103" s="2"/>
      <c r="I103" s="2"/>
      <c r="J103" s="2"/>
      <c r="K103" s="2"/>
      <c r="L103" s="2"/>
      <c r="O103" s="3"/>
      <c r="Q103" s="10"/>
    </row>
    <row r="104" spans="2:17" x14ac:dyDescent="0.2">
      <c r="B104" s="1"/>
      <c r="D104" s="2"/>
      <c r="E104" s="2"/>
      <c r="F104" s="2"/>
      <c r="G104" s="2"/>
      <c r="H104" s="2"/>
      <c r="I104" s="2"/>
      <c r="J104" s="2"/>
      <c r="K104" s="2"/>
      <c r="L104" s="2"/>
      <c r="O104" s="3"/>
      <c r="Q104" s="10"/>
    </row>
    <row r="105" spans="2:17" x14ac:dyDescent="0.2">
      <c r="B105" s="1"/>
      <c r="D105" s="2"/>
      <c r="E105" s="2"/>
      <c r="F105" s="2"/>
      <c r="G105" s="2"/>
      <c r="H105" s="2"/>
      <c r="I105" s="2"/>
      <c r="J105" s="2"/>
      <c r="K105" s="2"/>
      <c r="L105" s="2"/>
      <c r="O105" s="3"/>
      <c r="Q105" s="10"/>
    </row>
    <row r="106" spans="2:17" x14ac:dyDescent="0.2">
      <c r="B106" s="1"/>
      <c r="D106" s="2"/>
      <c r="E106" s="2"/>
      <c r="F106" s="2"/>
      <c r="G106" s="2"/>
      <c r="H106" s="2"/>
      <c r="I106" s="2"/>
      <c r="J106" s="2"/>
      <c r="K106" s="2"/>
      <c r="L106" s="2"/>
      <c r="O106" s="3"/>
      <c r="Q106" s="10"/>
    </row>
    <row r="107" spans="2:17" x14ac:dyDescent="0.2">
      <c r="B107" s="1"/>
      <c r="D107" s="2"/>
      <c r="E107" s="2"/>
      <c r="F107" s="2"/>
      <c r="G107" s="2"/>
      <c r="H107" s="2"/>
      <c r="I107" s="2"/>
      <c r="J107" s="2"/>
      <c r="K107" s="2"/>
      <c r="L107" s="2"/>
      <c r="O107" s="3"/>
      <c r="Q107" s="10"/>
    </row>
    <row r="108" spans="2:17" x14ac:dyDescent="0.2">
      <c r="B108" s="1"/>
      <c r="D108" s="2"/>
      <c r="E108" s="2"/>
      <c r="F108" s="2"/>
      <c r="G108" s="2"/>
      <c r="H108" s="2"/>
      <c r="I108" s="2"/>
      <c r="J108" s="2"/>
      <c r="K108" s="2"/>
      <c r="L108" s="2"/>
      <c r="O108" s="3"/>
      <c r="Q108" s="10"/>
    </row>
    <row r="109" spans="2:17" x14ac:dyDescent="0.2">
      <c r="B109" s="1"/>
      <c r="D109" s="2"/>
      <c r="E109" s="2"/>
      <c r="F109" s="2"/>
      <c r="G109" s="2"/>
      <c r="H109" s="2"/>
      <c r="I109" s="2"/>
      <c r="J109" s="2"/>
      <c r="K109" s="2"/>
      <c r="L109" s="2"/>
      <c r="O109" s="3"/>
      <c r="Q109" s="10"/>
    </row>
    <row r="110" spans="2:17" x14ac:dyDescent="0.2">
      <c r="B110" s="1"/>
      <c r="D110" s="2"/>
      <c r="E110" s="2"/>
      <c r="F110" s="2"/>
      <c r="G110" s="2"/>
      <c r="H110" s="2"/>
      <c r="I110" s="2"/>
      <c r="J110" s="2"/>
      <c r="K110" s="2"/>
      <c r="L110" s="2"/>
      <c r="O110" s="3"/>
      <c r="Q110" s="10"/>
    </row>
    <row r="111" spans="2:17" x14ac:dyDescent="0.2">
      <c r="B111" s="1"/>
      <c r="D111" s="2"/>
      <c r="E111" s="2"/>
      <c r="F111" s="2"/>
      <c r="G111" s="2"/>
      <c r="H111" s="2"/>
      <c r="I111" s="2"/>
      <c r="J111" s="2"/>
      <c r="K111" s="2"/>
      <c r="L111" s="2"/>
      <c r="Q111" s="10"/>
    </row>
    <row r="112" spans="2:17" x14ac:dyDescent="0.2">
      <c r="B112" s="1"/>
      <c r="D112" s="2"/>
      <c r="E112" s="2"/>
      <c r="F112" s="2"/>
      <c r="G112" s="2"/>
      <c r="H112" s="2"/>
      <c r="I112" s="2"/>
      <c r="J112" s="2"/>
      <c r="K112" s="2"/>
      <c r="L112" s="2"/>
      <c r="O112" s="3"/>
      <c r="Q112" s="10"/>
    </row>
    <row r="113" spans="2:17" x14ac:dyDescent="0.2">
      <c r="B113" s="1"/>
      <c r="D113" s="2"/>
      <c r="E113" s="2"/>
      <c r="F113" s="2"/>
      <c r="G113" s="2"/>
      <c r="H113" s="2"/>
      <c r="I113" s="2"/>
      <c r="J113" s="2"/>
      <c r="K113" s="2"/>
      <c r="L113" s="2"/>
      <c r="O113" s="3"/>
      <c r="Q113" s="10"/>
    </row>
    <row r="114" spans="2:17" x14ac:dyDescent="0.2">
      <c r="B114" s="1"/>
      <c r="D114" s="2"/>
      <c r="E114" s="2"/>
      <c r="F114" s="2"/>
      <c r="G114" s="2"/>
      <c r="H114" s="2"/>
      <c r="I114" s="2"/>
      <c r="J114" s="2"/>
      <c r="K114" s="2"/>
      <c r="L114" s="2"/>
      <c r="Q114" s="10"/>
    </row>
    <row r="115" spans="2:17" x14ac:dyDescent="0.2">
      <c r="B115" s="1"/>
      <c r="D115" s="2"/>
      <c r="E115" s="2"/>
      <c r="F115" s="2"/>
      <c r="G115" s="2"/>
      <c r="H115" s="2"/>
      <c r="I115" s="2"/>
      <c r="J115" s="2"/>
      <c r="K115" s="2"/>
      <c r="L115" s="2"/>
      <c r="Q115" s="10"/>
    </row>
    <row r="116" spans="2:17" x14ac:dyDescent="0.2">
      <c r="B116" s="1"/>
      <c r="D116" s="2"/>
      <c r="E116" s="2"/>
      <c r="F116" s="2"/>
      <c r="G116" s="2"/>
      <c r="H116" s="2"/>
      <c r="I116" s="2"/>
      <c r="J116" s="2"/>
      <c r="K116" s="2"/>
      <c r="L116" s="2"/>
      <c r="Q116" s="10"/>
    </row>
    <row r="117" spans="2:17" x14ac:dyDescent="0.2">
      <c r="B117" s="1"/>
      <c r="D117" s="2"/>
      <c r="E117" s="2"/>
      <c r="F117" s="2"/>
      <c r="G117" s="2"/>
      <c r="H117" s="2"/>
      <c r="I117" s="2"/>
      <c r="J117" s="2"/>
      <c r="K117" s="2"/>
      <c r="L117" s="2"/>
      <c r="Q117" s="10"/>
    </row>
    <row r="118" spans="2:17" x14ac:dyDescent="0.2">
      <c r="B118" s="1"/>
      <c r="D118" s="2"/>
      <c r="E118" s="2"/>
      <c r="F118" s="2"/>
      <c r="G118" s="2"/>
      <c r="H118" s="2"/>
      <c r="I118" s="2"/>
      <c r="J118" s="2"/>
      <c r="K118" s="2"/>
      <c r="L118" s="2"/>
      <c r="Q118" s="10"/>
    </row>
    <row r="119" spans="2:17" x14ac:dyDescent="0.2">
      <c r="B119" s="1"/>
      <c r="D119" s="2"/>
      <c r="E119" s="2"/>
      <c r="F119" s="2"/>
      <c r="G119" s="2"/>
      <c r="H119" s="2"/>
      <c r="I119" s="2"/>
      <c r="J119" s="2"/>
      <c r="K119" s="2"/>
      <c r="L119" s="2"/>
      <c r="O119" s="3"/>
      <c r="Q119" s="10"/>
    </row>
    <row r="120" spans="2:17" x14ac:dyDescent="0.2">
      <c r="B120" s="1"/>
      <c r="D120" s="2"/>
      <c r="E120" s="2"/>
      <c r="F120" s="2"/>
      <c r="G120" s="2"/>
      <c r="H120" s="2"/>
      <c r="I120" s="2"/>
      <c r="J120" s="2"/>
      <c r="K120" s="2"/>
      <c r="L120" s="2"/>
      <c r="Q120" s="10"/>
    </row>
    <row r="121" spans="2:17" x14ac:dyDescent="0.2">
      <c r="B121" s="1"/>
      <c r="D121" s="2"/>
      <c r="E121" s="2"/>
      <c r="F121" s="2"/>
      <c r="G121" s="2"/>
      <c r="H121" s="2"/>
      <c r="I121" s="2"/>
      <c r="J121" s="2"/>
      <c r="K121" s="2"/>
      <c r="L121" s="2"/>
      <c r="O121" s="3"/>
      <c r="Q121" s="10"/>
    </row>
    <row r="122" spans="2:17" x14ac:dyDescent="0.2">
      <c r="B122" s="1"/>
      <c r="D122" s="2"/>
      <c r="E122" s="2"/>
      <c r="F122" s="2"/>
      <c r="G122" s="2"/>
      <c r="H122" s="2"/>
      <c r="I122" s="2"/>
      <c r="J122" s="2"/>
      <c r="K122" s="2"/>
      <c r="L122" s="2"/>
      <c r="O122" s="3"/>
      <c r="Q122" s="10"/>
    </row>
    <row r="123" spans="2:17" x14ac:dyDescent="0.2">
      <c r="B123" s="1"/>
      <c r="D123" s="2"/>
      <c r="E123" s="2"/>
      <c r="F123" s="2"/>
      <c r="G123" s="2"/>
      <c r="H123" s="2"/>
      <c r="I123" s="2"/>
      <c r="J123" s="2"/>
      <c r="K123" s="2"/>
      <c r="L123" s="2"/>
      <c r="O123" s="3"/>
      <c r="Q123" s="10"/>
    </row>
    <row r="124" spans="2:17" x14ac:dyDescent="0.2">
      <c r="B124" s="1"/>
      <c r="D124" s="2"/>
      <c r="E124" s="2"/>
      <c r="F124" s="2"/>
      <c r="G124" s="2"/>
      <c r="H124" s="2"/>
      <c r="I124" s="2"/>
      <c r="J124" s="2"/>
      <c r="K124" s="2"/>
      <c r="L124" s="2"/>
      <c r="Q124" s="10"/>
    </row>
    <row r="125" spans="2:17" x14ac:dyDescent="0.2">
      <c r="B125" s="1"/>
      <c r="D125" s="2"/>
      <c r="E125" s="2"/>
      <c r="F125" s="2"/>
      <c r="G125" s="2"/>
      <c r="H125" s="2"/>
      <c r="I125" s="2"/>
      <c r="J125" s="2"/>
      <c r="K125" s="2"/>
      <c r="L125" s="2"/>
      <c r="O125" s="3"/>
      <c r="Q125" s="10"/>
    </row>
    <row r="126" spans="2:17" x14ac:dyDescent="0.2">
      <c r="B126" s="1"/>
      <c r="D126" s="2"/>
      <c r="E126" s="2"/>
      <c r="F126" s="2"/>
      <c r="G126" s="2"/>
      <c r="H126" s="2"/>
      <c r="I126" s="2"/>
      <c r="J126" s="2"/>
      <c r="K126" s="2"/>
      <c r="L126" s="2"/>
      <c r="O126" s="3"/>
      <c r="Q126" s="10"/>
    </row>
    <row r="127" spans="2:17" x14ac:dyDescent="0.2">
      <c r="B127" s="1"/>
      <c r="D127" s="2"/>
      <c r="E127" s="2"/>
      <c r="F127" s="2"/>
      <c r="G127" s="2"/>
      <c r="H127" s="2"/>
      <c r="I127" s="2"/>
      <c r="J127" s="2"/>
      <c r="K127" s="2"/>
      <c r="L127" s="2"/>
      <c r="O127" s="3"/>
      <c r="Q127" s="10"/>
    </row>
    <row r="128" spans="2:17" x14ac:dyDescent="0.2">
      <c r="B128" s="1"/>
      <c r="D128" s="2"/>
      <c r="E128" s="2"/>
      <c r="F128" s="2"/>
      <c r="G128" s="2"/>
      <c r="H128" s="2"/>
      <c r="I128" s="2"/>
      <c r="J128" s="2"/>
      <c r="K128" s="2"/>
      <c r="L128" s="2"/>
      <c r="O128" s="3"/>
      <c r="Q128" s="10"/>
    </row>
    <row r="129" spans="2:17" x14ac:dyDescent="0.2">
      <c r="B129" s="1"/>
      <c r="D129" s="2"/>
      <c r="E129" s="2"/>
      <c r="F129" s="2"/>
      <c r="G129" s="2"/>
      <c r="H129" s="2"/>
      <c r="I129" s="2"/>
      <c r="J129" s="2"/>
      <c r="K129" s="2"/>
      <c r="L129" s="2"/>
      <c r="O129" s="3"/>
      <c r="Q129" s="10"/>
    </row>
    <row r="130" spans="2:17" x14ac:dyDescent="0.2">
      <c r="B130" s="1"/>
      <c r="D130" s="2"/>
      <c r="E130" s="2"/>
      <c r="F130" s="2"/>
      <c r="G130" s="2"/>
      <c r="H130" s="2"/>
      <c r="I130" s="2"/>
      <c r="J130" s="2"/>
      <c r="K130" s="2"/>
      <c r="L130" s="2"/>
      <c r="Q130" s="10"/>
    </row>
    <row r="131" spans="2:17" x14ac:dyDescent="0.2">
      <c r="B131" s="1"/>
      <c r="D131" s="2"/>
      <c r="E131" s="2"/>
      <c r="F131" s="2"/>
      <c r="G131" s="2"/>
      <c r="H131" s="2"/>
      <c r="I131" s="2"/>
      <c r="J131" s="2"/>
      <c r="K131" s="2"/>
      <c r="L131" s="2"/>
      <c r="O131" s="3"/>
      <c r="Q131" s="10"/>
    </row>
    <row r="132" spans="2:17" x14ac:dyDescent="0.2">
      <c r="B132" s="1"/>
      <c r="D132" s="2"/>
      <c r="E132" s="2"/>
      <c r="F132" s="2"/>
      <c r="G132" s="2"/>
      <c r="H132" s="2"/>
      <c r="I132" s="2"/>
      <c r="J132" s="2"/>
      <c r="K132" s="2"/>
      <c r="L132" s="2"/>
      <c r="O132" s="3"/>
      <c r="Q132" s="10"/>
    </row>
    <row r="133" spans="2:17" x14ac:dyDescent="0.2">
      <c r="B133" s="1"/>
      <c r="D133" s="2"/>
      <c r="E133" s="2"/>
      <c r="F133" s="2"/>
      <c r="G133" s="2"/>
      <c r="H133" s="2"/>
      <c r="I133" s="2"/>
      <c r="J133" s="2"/>
      <c r="K133" s="2"/>
      <c r="L133" s="2"/>
      <c r="O133" s="3"/>
      <c r="Q133" s="10"/>
    </row>
    <row r="134" spans="2:17" x14ac:dyDescent="0.2">
      <c r="B134" s="1"/>
      <c r="D134" s="2"/>
      <c r="E134" s="2"/>
      <c r="F134" s="2"/>
      <c r="G134" s="2"/>
      <c r="H134" s="2"/>
      <c r="I134" s="2"/>
      <c r="J134" s="2"/>
      <c r="K134" s="2"/>
      <c r="L134" s="2"/>
      <c r="O134" s="3"/>
      <c r="Q134" s="10"/>
    </row>
    <row r="135" spans="2:17" x14ac:dyDescent="0.2">
      <c r="B135" s="1"/>
      <c r="D135" s="2"/>
      <c r="E135" s="2"/>
      <c r="F135" s="2"/>
      <c r="G135" s="2"/>
      <c r="H135" s="2"/>
      <c r="I135" s="2"/>
      <c r="J135" s="2"/>
      <c r="K135" s="2"/>
      <c r="L135" s="2"/>
      <c r="Q135" s="10"/>
    </row>
    <row r="136" spans="2:17" x14ac:dyDescent="0.2">
      <c r="B136" s="1"/>
      <c r="D136" s="2"/>
      <c r="E136" s="2"/>
      <c r="F136" s="2"/>
      <c r="G136" s="2"/>
      <c r="H136" s="2"/>
      <c r="I136" s="2"/>
      <c r="J136" s="2"/>
      <c r="K136" s="2"/>
      <c r="L136" s="2"/>
      <c r="O136" s="3"/>
      <c r="Q136" s="10"/>
    </row>
    <row r="137" spans="2:17" x14ac:dyDescent="0.2">
      <c r="B137" s="1"/>
      <c r="D137" s="2"/>
      <c r="E137" s="2"/>
      <c r="F137" s="2"/>
      <c r="G137" s="2"/>
      <c r="H137" s="2"/>
      <c r="I137" s="2"/>
      <c r="J137" s="2"/>
      <c r="K137" s="2"/>
      <c r="L137" s="2"/>
      <c r="O137" s="3"/>
      <c r="Q137" s="10"/>
    </row>
    <row r="138" spans="2:17" x14ac:dyDescent="0.2">
      <c r="B138" s="1"/>
      <c r="D138" s="2"/>
      <c r="E138" s="2"/>
      <c r="F138" s="2"/>
      <c r="G138" s="2"/>
      <c r="H138" s="2"/>
      <c r="I138" s="2"/>
      <c r="J138" s="2"/>
      <c r="K138" s="2"/>
      <c r="L138" s="2"/>
      <c r="O138" s="3"/>
      <c r="Q138" s="10"/>
    </row>
    <row r="139" spans="2:17" x14ac:dyDescent="0.2">
      <c r="B139" s="1"/>
      <c r="D139" s="2"/>
      <c r="E139" s="2"/>
      <c r="F139" s="2"/>
      <c r="G139" s="2"/>
      <c r="H139" s="2"/>
      <c r="I139" s="2"/>
      <c r="J139" s="2"/>
      <c r="K139" s="2"/>
      <c r="L139" s="2"/>
      <c r="O139" s="3"/>
      <c r="Q139" s="10"/>
    </row>
    <row r="140" spans="2:17" x14ac:dyDescent="0.2">
      <c r="B140" s="1"/>
      <c r="D140" s="2"/>
      <c r="E140" s="2"/>
      <c r="F140" s="2"/>
      <c r="G140" s="2"/>
      <c r="H140" s="2"/>
      <c r="I140" s="2"/>
      <c r="J140" s="2"/>
      <c r="K140" s="2"/>
      <c r="L140" s="2"/>
      <c r="Q140" s="10"/>
    </row>
    <row r="141" spans="2:17" x14ac:dyDescent="0.2">
      <c r="B141" s="1"/>
      <c r="D141" s="2"/>
      <c r="E141" s="2"/>
      <c r="F141" s="2"/>
      <c r="G141" s="2"/>
      <c r="H141" s="2"/>
      <c r="I141" s="2"/>
      <c r="J141" s="2"/>
      <c r="K141" s="2"/>
      <c r="L141" s="2"/>
      <c r="O141" s="3"/>
      <c r="Q141" s="10"/>
    </row>
    <row r="142" spans="2:17" x14ac:dyDescent="0.2">
      <c r="B142" s="1"/>
      <c r="D142" s="2"/>
      <c r="E142" s="2"/>
      <c r="F142" s="2"/>
      <c r="G142" s="2"/>
      <c r="H142" s="2"/>
      <c r="I142" s="2"/>
      <c r="J142" s="2"/>
      <c r="K142" s="2"/>
      <c r="L142" s="2"/>
      <c r="Q142" s="10"/>
    </row>
    <row r="143" spans="2:17" x14ac:dyDescent="0.2">
      <c r="B143" s="1"/>
      <c r="D143" s="2"/>
      <c r="E143" s="2"/>
      <c r="F143" s="2"/>
      <c r="G143" s="2"/>
      <c r="H143" s="2"/>
      <c r="I143" s="2"/>
      <c r="J143" s="2"/>
      <c r="K143" s="2"/>
      <c r="L143" s="2"/>
      <c r="Q143" s="10"/>
    </row>
    <row r="144" spans="2:17" x14ac:dyDescent="0.2">
      <c r="B144" s="1"/>
      <c r="D144" s="2"/>
      <c r="E144" s="2"/>
      <c r="F144" s="2"/>
      <c r="G144" s="2"/>
      <c r="H144" s="2"/>
      <c r="I144" s="2"/>
      <c r="J144" s="2"/>
      <c r="K144" s="2"/>
      <c r="L144" s="2"/>
      <c r="O144" s="3"/>
      <c r="Q144" s="10"/>
    </row>
    <row r="145" spans="2:17" x14ac:dyDescent="0.2">
      <c r="B145" s="1"/>
      <c r="D145" s="2"/>
      <c r="E145" s="2"/>
      <c r="F145" s="2"/>
      <c r="G145" s="2"/>
      <c r="H145" s="2"/>
      <c r="I145" s="2"/>
      <c r="J145" s="2"/>
      <c r="K145" s="2"/>
      <c r="L145" s="2"/>
      <c r="O145" s="3"/>
      <c r="Q145" s="10"/>
    </row>
    <row r="146" spans="2:17" x14ac:dyDescent="0.2">
      <c r="B146" s="1"/>
      <c r="D146" s="2"/>
      <c r="E146" s="2"/>
      <c r="F146" s="2"/>
      <c r="G146" s="2"/>
      <c r="H146" s="2"/>
      <c r="I146" s="2"/>
      <c r="J146" s="2"/>
      <c r="K146" s="2"/>
      <c r="L146" s="2"/>
      <c r="O146" s="3"/>
      <c r="Q146" s="10"/>
    </row>
    <row r="147" spans="2:17" x14ac:dyDescent="0.2">
      <c r="B147" s="1"/>
      <c r="D147" s="2"/>
      <c r="E147" s="2"/>
      <c r="F147" s="2"/>
      <c r="G147" s="2"/>
      <c r="H147" s="2"/>
      <c r="I147" s="2"/>
      <c r="J147" s="2"/>
      <c r="K147" s="2"/>
      <c r="L147" s="2"/>
      <c r="O147" s="3"/>
      <c r="Q147" s="10"/>
    </row>
    <row r="148" spans="2:17" x14ac:dyDescent="0.2">
      <c r="B148" s="1"/>
      <c r="D148" s="2"/>
      <c r="E148" s="2"/>
      <c r="F148" s="2"/>
      <c r="G148" s="2"/>
      <c r="H148" s="2"/>
      <c r="I148" s="2"/>
      <c r="J148" s="2"/>
      <c r="K148" s="2"/>
      <c r="L148" s="2"/>
      <c r="O148" s="3"/>
      <c r="Q148" s="10"/>
    </row>
    <row r="149" spans="2:17" x14ac:dyDescent="0.2">
      <c r="B149" s="1"/>
      <c r="D149" s="2"/>
      <c r="E149" s="2"/>
      <c r="F149" s="2"/>
      <c r="G149" s="2"/>
      <c r="H149" s="2"/>
      <c r="I149" s="2"/>
      <c r="J149" s="2"/>
      <c r="K149" s="2"/>
      <c r="L149" s="2"/>
      <c r="Q149" s="10"/>
    </row>
    <row r="150" spans="2:17" x14ac:dyDescent="0.2">
      <c r="B150" s="1"/>
      <c r="D150" s="2"/>
      <c r="E150" s="2"/>
      <c r="F150" s="2"/>
      <c r="G150" s="2"/>
      <c r="H150" s="2"/>
      <c r="I150" s="2"/>
      <c r="J150" s="2"/>
      <c r="K150" s="2"/>
      <c r="L150" s="2"/>
      <c r="Q150" s="10"/>
    </row>
    <row r="151" spans="2:17" x14ac:dyDescent="0.2">
      <c r="B151" s="1"/>
      <c r="D151" s="2"/>
      <c r="E151" s="2"/>
      <c r="F151" s="2"/>
      <c r="G151" s="2"/>
      <c r="H151" s="2"/>
      <c r="I151" s="2"/>
      <c r="J151" s="2"/>
      <c r="K151" s="2"/>
      <c r="L151" s="2"/>
      <c r="O151" s="3"/>
      <c r="Q151" s="10"/>
    </row>
    <row r="152" spans="2:17" x14ac:dyDescent="0.2">
      <c r="B152" s="1"/>
      <c r="D152" s="2"/>
      <c r="E152" s="2"/>
      <c r="F152" s="2"/>
      <c r="G152" s="2"/>
      <c r="H152" s="2"/>
      <c r="I152" s="2"/>
      <c r="J152" s="2"/>
      <c r="K152" s="2"/>
      <c r="L152" s="2"/>
      <c r="O152" s="3"/>
      <c r="Q152" s="10"/>
    </row>
    <row r="153" spans="2:17" x14ac:dyDescent="0.2">
      <c r="B153" s="1"/>
      <c r="D153" s="2"/>
      <c r="E153" s="2"/>
      <c r="F153" s="2"/>
      <c r="G153" s="2"/>
      <c r="H153" s="2"/>
      <c r="I153" s="2"/>
      <c r="J153" s="2"/>
      <c r="K153" s="2"/>
      <c r="L153" s="2"/>
      <c r="O153" s="3"/>
      <c r="Q153" s="10"/>
    </row>
    <row r="154" spans="2:17" x14ac:dyDescent="0.2">
      <c r="B154" s="1"/>
      <c r="D154" s="2"/>
      <c r="E154" s="2"/>
      <c r="F154" s="2"/>
      <c r="G154" s="2"/>
      <c r="H154" s="2"/>
      <c r="I154" s="2"/>
      <c r="J154" s="2"/>
      <c r="K154" s="2"/>
      <c r="L154" s="2"/>
      <c r="Q154" s="10"/>
    </row>
    <row r="155" spans="2:17" x14ac:dyDescent="0.2">
      <c r="B155" s="1"/>
      <c r="D155" s="2"/>
      <c r="E155" s="2"/>
      <c r="F155" s="2"/>
      <c r="G155" s="2"/>
      <c r="H155" s="2"/>
      <c r="I155" s="2"/>
      <c r="J155" s="2"/>
      <c r="K155" s="2"/>
      <c r="L155" s="2"/>
      <c r="Q155" s="10"/>
    </row>
    <row r="156" spans="2:17" x14ac:dyDescent="0.2">
      <c r="B156" s="1"/>
      <c r="D156" s="2"/>
      <c r="E156" s="2"/>
      <c r="F156" s="2"/>
      <c r="G156" s="2"/>
      <c r="H156" s="2"/>
      <c r="I156" s="2"/>
      <c r="J156" s="2"/>
      <c r="K156" s="2"/>
      <c r="L156" s="2"/>
      <c r="Q156" s="10"/>
    </row>
    <row r="157" spans="2:17" x14ac:dyDescent="0.2">
      <c r="B157" s="1"/>
      <c r="D157" s="2"/>
      <c r="E157" s="2"/>
      <c r="F157" s="2"/>
      <c r="G157" s="2"/>
      <c r="H157" s="2"/>
      <c r="I157" s="2"/>
      <c r="J157" s="2"/>
      <c r="K157" s="2"/>
      <c r="L157" s="2"/>
      <c r="O157" s="3"/>
      <c r="Q157" s="10"/>
    </row>
    <row r="158" spans="2:17" x14ac:dyDescent="0.2">
      <c r="B158" s="1"/>
      <c r="D158" s="2"/>
      <c r="E158" s="2"/>
      <c r="F158" s="2"/>
      <c r="G158" s="2"/>
      <c r="H158" s="2"/>
      <c r="I158" s="2"/>
      <c r="J158" s="2"/>
      <c r="K158" s="2"/>
      <c r="L158" s="2"/>
      <c r="O158" s="3"/>
      <c r="Q158" s="10"/>
    </row>
    <row r="159" spans="2:17" x14ac:dyDescent="0.2">
      <c r="B159" s="1"/>
      <c r="D159" s="2"/>
      <c r="E159" s="2"/>
      <c r="F159" s="2"/>
      <c r="G159" s="2"/>
      <c r="H159" s="2"/>
      <c r="I159" s="2"/>
      <c r="J159" s="2"/>
      <c r="K159" s="2"/>
      <c r="L159" s="2"/>
      <c r="O159" s="3"/>
      <c r="Q159" s="10"/>
    </row>
    <row r="160" spans="2:17" x14ac:dyDescent="0.2">
      <c r="B160" s="1"/>
      <c r="D160" s="2"/>
      <c r="E160" s="2"/>
      <c r="F160" s="2"/>
      <c r="G160" s="2"/>
      <c r="H160" s="2"/>
      <c r="I160" s="2"/>
      <c r="J160" s="2"/>
      <c r="K160" s="2"/>
      <c r="L160" s="2"/>
      <c r="Q160" s="10"/>
    </row>
    <row r="161" spans="2:17" x14ac:dyDescent="0.2">
      <c r="B161" s="1"/>
      <c r="D161" s="2"/>
      <c r="E161" s="2"/>
      <c r="F161" s="2"/>
      <c r="G161" s="2"/>
      <c r="H161" s="2"/>
      <c r="I161" s="2"/>
      <c r="J161" s="2"/>
      <c r="K161" s="2"/>
      <c r="L161" s="2"/>
      <c r="Q161" s="10"/>
    </row>
    <row r="162" spans="2:17" x14ac:dyDescent="0.2">
      <c r="B162" s="1"/>
      <c r="D162" s="2"/>
      <c r="E162" s="2"/>
      <c r="F162" s="2"/>
      <c r="G162" s="2"/>
      <c r="H162" s="2"/>
      <c r="I162" s="2"/>
      <c r="J162" s="2"/>
      <c r="K162" s="2"/>
      <c r="L162" s="2"/>
      <c r="Q162" s="10"/>
    </row>
    <row r="163" spans="2:17" x14ac:dyDescent="0.2">
      <c r="B163" s="1"/>
      <c r="D163" s="2"/>
      <c r="E163" s="2"/>
      <c r="F163" s="2"/>
      <c r="G163" s="2"/>
      <c r="H163" s="2"/>
      <c r="I163" s="2"/>
      <c r="J163" s="2"/>
      <c r="K163" s="2"/>
      <c r="L163" s="2"/>
      <c r="O163" s="3"/>
      <c r="Q163" s="10"/>
    </row>
    <row r="164" spans="2:17" x14ac:dyDescent="0.2">
      <c r="B164" s="1"/>
      <c r="D164" s="2"/>
      <c r="E164" s="2"/>
      <c r="F164" s="2"/>
      <c r="G164" s="2"/>
      <c r="H164" s="2"/>
      <c r="I164" s="2"/>
      <c r="J164" s="2"/>
      <c r="K164" s="2"/>
      <c r="L164" s="2"/>
      <c r="O164" s="3"/>
      <c r="Q164" s="10"/>
    </row>
    <row r="165" spans="2:17" x14ac:dyDescent="0.2">
      <c r="B165" s="1"/>
      <c r="D165" s="2"/>
      <c r="E165" s="2"/>
      <c r="F165" s="2"/>
      <c r="G165" s="2"/>
      <c r="H165" s="2"/>
      <c r="I165" s="2"/>
      <c r="J165" s="2"/>
      <c r="K165" s="2"/>
      <c r="L165" s="2"/>
      <c r="O165" s="3"/>
      <c r="Q165" s="10"/>
    </row>
    <row r="166" spans="2:17" x14ac:dyDescent="0.2">
      <c r="B166" s="1"/>
      <c r="D166" s="2"/>
      <c r="E166" s="2"/>
      <c r="F166" s="2"/>
      <c r="G166" s="2"/>
      <c r="H166" s="2"/>
      <c r="I166" s="2"/>
      <c r="J166" s="2"/>
      <c r="K166" s="2"/>
      <c r="L166" s="2"/>
      <c r="O166" s="3"/>
      <c r="Q166" s="10"/>
    </row>
    <row r="167" spans="2:17" x14ac:dyDescent="0.2">
      <c r="B167" s="1"/>
      <c r="D167" s="2"/>
      <c r="E167" s="2"/>
      <c r="F167" s="2"/>
      <c r="G167" s="2"/>
      <c r="H167" s="2"/>
      <c r="I167" s="2"/>
      <c r="J167" s="2"/>
      <c r="K167" s="2"/>
      <c r="L167" s="2"/>
      <c r="O167" s="3"/>
      <c r="Q167" s="10"/>
    </row>
    <row r="168" spans="2:17" x14ac:dyDescent="0.2">
      <c r="B168" s="1"/>
      <c r="D168" s="2"/>
      <c r="E168" s="2"/>
      <c r="F168" s="2"/>
      <c r="G168" s="2"/>
      <c r="H168" s="2"/>
      <c r="I168" s="2"/>
      <c r="J168" s="2"/>
      <c r="K168" s="2"/>
      <c r="L168" s="2"/>
      <c r="O168" s="3"/>
      <c r="Q168" s="10"/>
    </row>
    <row r="169" spans="2:17" x14ac:dyDescent="0.2">
      <c r="B169" s="1"/>
      <c r="D169" s="2"/>
      <c r="E169" s="2"/>
      <c r="F169" s="2"/>
      <c r="G169" s="2"/>
      <c r="H169" s="2"/>
      <c r="I169" s="2"/>
      <c r="J169" s="2"/>
      <c r="K169" s="2"/>
      <c r="L169" s="2"/>
      <c r="O169" s="3"/>
      <c r="Q169" s="10"/>
    </row>
    <row r="170" spans="2:17" x14ac:dyDescent="0.2">
      <c r="B170" s="1"/>
      <c r="D170" s="2"/>
      <c r="E170" s="2"/>
      <c r="F170" s="2"/>
      <c r="G170" s="2"/>
      <c r="H170" s="2"/>
      <c r="I170" s="2"/>
      <c r="J170" s="2"/>
      <c r="K170" s="2"/>
      <c r="L170" s="2"/>
      <c r="O170" s="3"/>
      <c r="Q170" s="10"/>
    </row>
    <row r="171" spans="2:17" x14ac:dyDescent="0.2">
      <c r="B171" s="1"/>
      <c r="D171" s="2"/>
      <c r="E171" s="2"/>
      <c r="F171" s="2"/>
      <c r="G171" s="2"/>
      <c r="H171" s="2"/>
      <c r="I171" s="2"/>
      <c r="J171" s="2"/>
      <c r="K171" s="2"/>
      <c r="L171" s="2"/>
      <c r="O171" s="3"/>
      <c r="Q171" s="10"/>
    </row>
    <row r="172" spans="2:17" x14ac:dyDescent="0.2">
      <c r="B172" s="1"/>
      <c r="D172" s="2"/>
      <c r="E172" s="2"/>
      <c r="F172" s="2"/>
      <c r="G172" s="2"/>
      <c r="H172" s="2"/>
      <c r="I172" s="2"/>
      <c r="J172" s="2"/>
      <c r="K172" s="2"/>
      <c r="L172" s="2"/>
      <c r="O172" s="3"/>
      <c r="Q172" s="10"/>
    </row>
    <row r="173" spans="2:17" x14ac:dyDescent="0.2">
      <c r="B173" s="1"/>
      <c r="D173" s="2"/>
      <c r="E173" s="2"/>
      <c r="F173" s="2"/>
      <c r="G173" s="2"/>
      <c r="H173" s="2"/>
      <c r="I173" s="2"/>
      <c r="J173" s="2"/>
      <c r="K173" s="2"/>
      <c r="L173" s="2"/>
      <c r="O173" s="3"/>
      <c r="Q173" s="10"/>
    </row>
    <row r="174" spans="2:17" x14ac:dyDescent="0.2">
      <c r="B174" s="1"/>
      <c r="D174" s="2"/>
      <c r="E174" s="2"/>
      <c r="F174" s="2"/>
      <c r="G174" s="2"/>
      <c r="H174" s="2"/>
      <c r="I174" s="2"/>
      <c r="J174" s="2"/>
      <c r="K174" s="2"/>
      <c r="L174" s="2"/>
      <c r="O174" s="3"/>
      <c r="Q174" s="10"/>
    </row>
    <row r="175" spans="2:17" x14ac:dyDescent="0.2">
      <c r="B175" s="1"/>
      <c r="D175" s="2"/>
      <c r="E175" s="2"/>
      <c r="F175" s="2"/>
      <c r="G175" s="2"/>
      <c r="H175" s="2"/>
      <c r="I175" s="2"/>
      <c r="J175" s="2"/>
      <c r="K175" s="2"/>
      <c r="L175" s="2"/>
      <c r="O175" s="3"/>
      <c r="Q175" s="10"/>
    </row>
    <row r="176" spans="2:17" x14ac:dyDescent="0.2">
      <c r="B176" s="1"/>
      <c r="D176" s="2"/>
      <c r="E176" s="2"/>
      <c r="F176" s="2"/>
      <c r="G176" s="2"/>
      <c r="H176" s="2"/>
      <c r="I176" s="2"/>
      <c r="J176" s="2"/>
      <c r="K176" s="2"/>
      <c r="L176" s="2"/>
      <c r="O176" s="3"/>
      <c r="Q176" s="10"/>
    </row>
    <row r="177" spans="2:17" x14ac:dyDescent="0.2">
      <c r="B177" s="1"/>
      <c r="D177" s="2"/>
      <c r="E177" s="2"/>
      <c r="F177" s="2"/>
      <c r="G177" s="2"/>
      <c r="H177" s="2"/>
      <c r="I177" s="2"/>
      <c r="J177" s="2"/>
      <c r="K177" s="2"/>
      <c r="L177" s="2"/>
      <c r="O177" s="3"/>
      <c r="Q177" s="10"/>
    </row>
    <row r="178" spans="2:17" x14ac:dyDescent="0.2">
      <c r="B178" s="1"/>
      <c r="D178" s="2"/>
      <c r="E178" s="2"/>
      <c r="F178" s="2"/>
      <c r="G178" s="2"/>
      <c r="H178" s="2"/>
      <c r="I178" s="2"/>
      <c r="J178" s="2"/>
      <c r="K178" s="2"/>
      <c r="L178" s="2"/>
      <c r="O178" s="3"/>
      <c r="Q178" s="10"/>
    </row>
    <row r="179" spans="2:17" x14ac:dyDescent="0.2">
      <c r="B179" s="1"/>
      <c r="D179" s="2"/>
      <c r="E179" s="2"/>
      <c r="F179" s="2"/>
      <c r="G179" s="2"/>
      <c r="H179" s="2"/>
      <c r="I179" s="2"/>
      <c r="J179" s="2"/>
      <c r="K179" s="2"/>
      <c r="L179" s="2"/>
      <c r="O179" s="3"/>
      <c r="Q179" s="10"/>
    </row>
    <row r="180" spans="2:17" x14ac:dyDescent="0.2">
      <c r="B180" s="1"/>
      <c r="D180" s="2"/>
      <c r="E180" s="2"/>
      <c r="F180" s="2"/>
      <c r="G180" s="2"/>
      <c r="H180" s="2"/>
      <c r="I180" s="2"/>
      <c r="J180" s="2"/>
      <c r="K180" s="2"/>
      <c r="L180" s="2"/>
      <c r="O180" s="3"/>
      <c r="Q180" s="10"/>
    </row>
    <row r="181" spans="2:17" x14ac:dyDescent="0.2">
      <c r="B181" s="1"/>
      <c r="D181" s="2"/>
      <c r="E181" s="2"/>
      <c r="F181" s="2"/>
      <c r="G181" s="2"/>
      <c r="H181" s="2"/>
      <c r="I181" s="2"/>
      <c r="J181" s="2"/>
      <c r="K181" s="2"/>
      <c r="L181" s="2"/>
      <c r="O181" s="3"/>
      <c r="Q181" s="10"/>
    </row>
    <row r="182" spans="2:17" x14ac:dyDescent="0.2">
      <c r="B182" s="1"/>
      <c r="D182" s="2"/>
      <c r="E182" s="2"/>
      <c r="F182" s="2"/>
      <c r="G182" s="2"/>
      <c r="H182" s="2"/>
      <c r="I182" s="2"/>
      <c r="J182" s="2"/>
      <c r="K182" s="2"/>
      <c r="L182" s="2"/>
      <c r="O182" s="3"/>
      <c r="Q182" s="10"/>
    </row>
    <row r="183" spans="2:17" x14ac:dyDescent="0.2">
      <c r="B183" s="1"/>
      <c r="D183" s="2"/>
      <c r="E183" s="2"/>
      <c r="F183" s="2"/>
      <c r="G183" s="2"/>
      <c r="H183" s="2"/>
      <c r="I183" s="2"/>
      <c r="J183" s="2"/>
      <c r="K183" s="2"/>
      <c r="L183" s="2"/>
      <c r="O183" s="3"/>
      <c r="Q183" s="10"/>
    </row>
    <row r="184" spans="2:17" x14ac:dyDescent="0.2">
      <c r="B184" s="1"/>
      <c r="D184" s="2"/>
      <c r="E184" s="2"/>
      <c r="F184" s="2"/>
      <c r="G184" s="2"/>
      <c r="H184" s="2"/>
      <c r="I184" s="2"/>
      <c r="J184" s="2"/>
      <c r="K184" s="2"/>
      <c r="L184" s="2"/>
      <c r="O184" s="3"/>
      <c r="Q184" s="10"/>
    </row>
    <row r="185" spans="2:17" x14ac:dyDescent="0.2">
      <c r="B185" s="1"/>
      <c r="D185" s="2"/>
      <c r="E185" s="2"/>
      <c r="F185" s="2"/>
      <c r="G185" s="2"/>
      <c r="H185" s="2"/>
      <c r="I185" s="2"/>
      <c r="J185" s="2"/>
      <c r="K185" s="2"/>
      <c r="L185" s="2"/>
      <c r="O185" s="3"/>
      <c r="Q185" s="10"/>
    </row>
    <row r="186" spans="2:17" x14ac:dyDescent="0.2">
      <c r="B186" s="1"/>
      <c r="D186" s="2"/>
      <c r="E186" s="2"/>
      <c r="F186" s="2"/>
      <c r="G186" s="2"/>
      <c r="H186" s="2"/>
      <c r="I186" s="2"/>
      <c r="J186" s="2"/>
      <c r="K186" s="2"/>
      <c r="L186" s="2"/>
      <c r="O186" s="3"/>
      <c r="Q186" s="10"/>
    </row>
    <row r="187" spans="2:17" x14ac:dyDescent="0.2">
      <c r="B187" s="1"/>
      <c r="D187" s="2"/>
      <c r="E187" s="2"/>
      <c r="F187" s="2"/>
      <c r="G187" s="2"/>
      <c r="H187" s="2"/>
      <c r="I187" s="2"/>
      <c r="J187" s="2"/>
      <c r="K187" s="2"/>
      <c r="L187" s="2"/>
      <c r="O187" s="3"/>
      <c r="Q187" s="10"/>
    </row>
    <row r="188" spans="2:17" x14ac:dyDescent="0.2">
      <c r="B188" s="1"/>
      <c r="D188" s="2"/>
      <c r="E188" s="2"/>
      <c r="F188" s="2"/>
      <c r="G188" s="2"/>
      <c r="H188" s="2"/>
      <c r="I188" s="2"/>
      <c r="J188" s="2"/>
      <c r="K188" s="2"/>
      <c r="L188" s="2"/>
      <c r="O188" s="3"/>
      <c r="Q188" s="10"/>
    </row>
    <row r="189" spans="2:17" x14ac:dyDescent="0.2">
      <c r="B189" s="1"/>
      <c r="D189" s="2"/>
      <c r="E189" s="2"/>
      <c r="F189" s="2"/>
      <c r="G189" s="2"/>
      <c r="H189" s="2"/>
      <c r="I189" s="2"/>
      <c r="J189" s="2"/>
      <c r="K189" s="2"/>
      <c r="L189" s="2"/>
      <c r="O189" s="3"/>
      <c r="Q189" s="10"/>
    </row>
    <row r="190" spans="2:17" x14ac:dyDescent="0.2">
      <c r="B190" s="1"/>
      <c r="D190" s="2"/>
      <c r="E190" s="2"/>
      <c r="F190" s="2"/>
      <c r="G190" s="2"/>
      <c r="H190" s="2"/>
      <c r="I190" s="2"/>
      <c r="J190" s="2"/>
      <c r="K190" s="2"/>
      <c r="L190" s="2"/>
      <c r="O190" s="3"/>
      <c r="Q190" s="10"/>
    </row>
    <row r="191" spans="2:17" x14ac:dyDescent="0.2">
      <c r="B191" s="1"/>
      <c r="D191" s="2"/>
      <c r="E191" s="2"/>
      <c r="F191" s="2"/>
      <c r="G191" s="2"/>
      <c r="H191" s="2"/>
      <c r="I191" s="2"/>
      <c r="J191" s="2"/>
      <c r="K191" s="2"/>
      <c r="L191" s="2"/>
      <c r="O191" s="3"/>
      <c r="Q191" s="10"/>
    </row>
    <row r="192" spans="2:17" x14ac:dyDescent="0.2">
      <c r="B192" s="1"/>
      <c r="D192" s="2"/>
      <c r="E192" s="2"/>
      <c r="F192" s="2"/>
      <c r="G192" s="2"/>
      <c r="H192" s="2"/>
      <c r="I192" s="2"/>
      <c r="J192" s="2"/>
      <c r="K192" s="2"/>
      <c r="L192" s="2"/>
      <c r="O192" s="3"/>
      <c r="Q192" s="10"/>
    </row>
    <row r="193" spans="2:17" x14ac:dyDescent="0.2">
      <c r="B193" s="1"/>
      <c r="D193" s="2"/>
      <c r="E193" s="2"/>
      <c r="F193" s="2"/>
      <c r="G193" s="2"/>
      <c r="H193" s="2"/>
      <c r="I193" s="2"/>
      <c r="J193" s="2"/>
      <c r="K193" s="2"/>
      <c r="L193" s="2"/>
      <c r="O193" s="3"/>
      <c r="Q193" s="10"/>
    </row>
    <row r="194" spans="2:17" x14ac:dyDescent="0.2">
      <c r="B194" s="1"/>
      <c r="D194" s="2"/>
      <c r="E194" s="2"/>
      <c r="F194" s="2"/>
      <c r="G194" s="2"/>
      <c r="H194" s="2"/>
      <c r="I194" s="2"/>
      <c r="J194" s="2"/>
      <c r="K194" s="2"/>
      <c r="L194" s="2"/>
      <c r="O194" s="3"/>
      <c r="Q194" s="10"/>
    </row>
    <row r="195" spans="2:17" x14ac:dyDescent="0.2">
      <c r="B195" s="1"/>
      <c r="D195" s="2"/>
      <c r="E195" s="2"/>
      <c r="F195" s="2"/>
      <c r="G195" s="2"/>
      <c r="H195" s="2"/>
      <c r="I195" s="2"/>
      <c r="J195" s="2"/>
      <c r="K195" s="2"/>
      <c r="L195" s="2"/>
      <c r="O195" s="3"/>
      <c r="Q195" s="10"/>
    </row>
    <row r="196" spans="2:17" x14ac:dyDescent="0.2">
      <c r="B196" s="1"/>
      <c r="D196" s="2"/>
      <c r="E196" s="2"/>
      <c r="F196" s="2"/>
      <c r="G196" s="2"/>
      <c r="H196" s="2"/>
      <c r="I196" s="2"/>
      <c r="J196" s="2"/>
      <c r="K196" s="2"/>
      <c r="L196" s="2"/>
      <c r="O196" s="3"/>
      <c r="Q196" s="10"/>
    </row>
    <row r="197" spans="2:17" x14ac:dyDescent="0.2">
      <c r="B197" s="1"/>
      <c r="D197" s="2"/>
      <c r="E197" s="2"/>
      <c r="F197" s="2"/>
      <c r="G197" s="2"/>
      <c r="H197" s="2"/>
      <c r="I197" s="2"/>
      <c r="J197" s="2"/>
      <c r="K197" s="2"/>
      <c r="L197" s="2"/>
      <c r="O197" s="3"/>
      <c r="Q197" s="10"/>
    </row>
    <row r="198" spans="2:17" x14ac:dyDescent="0.2">
      <c r="B198" s="1"/>
      <c r="D198" s="2"/>
      <c r="E198" s="2"/>
      <c r="F198" s="2"/>
      <c r="G198" s="2"/>
      <c r="H198" s="2"/>
      <c r="I198" s="2"/>
      <c r="J198" s="2"/>
      <c r="K198" s="2"/>
      <c r="L198" s="2"/>
      <c r="O198" s="3"/>
      <c r="Q198" s="10"/>
    </row>
    <row r="199" spans="2:17" x14ac:dyDescent="0.2">
      <c r="B199" s="1"/>
      <c r="D199" s="2"/>
      <c r="E199" s="2"/>
      <c r="F199" s="2"/>
      <c r="G199" s="2"/>
      <c r="H199" s="2"/>
      <c r="I199" s="2"/>
      <c r="J199" s="2"/>
      <c r="K199" s="2"/>
      <c r="L199" s="2"/>
      <c r="Q199" s="10"/>
    </row>
    <row r="200" spans="2:17" x14ac:dyDescent="0.2">
      <c r="B200" s="1"/>
      <c r="D200" s="2"/>
      <c r="E200" s="2"/>
      <c r="F200" s="2"/>
      <c r="G200" s="2"/>
      <c r="H200" s="2"/>
      <c r="I200" s="2"/>
      <c r="J200" s="2"/>
      <c r="K200" s="2"/>
      <c r="L200" s="2"/>
      <c r="O200" s="3"/>
      <c r="Q200" s="10"/>
    </row>
    <row r="201" spans="2:17" x14ac:dyDescent="0.2">
      <c r="B201" s="1"/>
      <c r="D201" s="2"/>
      <c r="E201" s="2"/>
      <c r="F201" s="2"/>
      <c r="G201" s="2"/>
      <c r="H201" s="2"/>
      <c r="I201" s="2"/>
      <c r="J201" s="2"/>
      <c r="K201" s="2"/>
      <c r="L201" s="2"/>
      <c r="O201" s="3"/>
      <c r="Q201" s="10"/>
    </row>
    <row r="202" spans="2:17" x14ac:dyDescent="0.2">
      <c r="B202" s="1"/>
      <c r="D202" s="2"/>
      <c r="E202" s="2"/>
      <c r="F202" s="2"/>
      <c r="G202" s="2"/>
      <c r="H202" s="2"/>
      <c r="I202" s="2"/>
      <c r="J202" s="2"/>
      <c r="K202" s="2"/>
      <c r="L202" s="2"/>
      <c r="O202" s="3"/>
      <c r="Q202" s="10"/>
    </row>
    <row r="203" spans="2:17" x14ac:dyDescent="0.2">
      <c r="B203" s="1"/>
      <c r="D203" s="2"/>
      <c r="E203" s="2"/>
      <c r="F203" s="2"/>
      <c r="G203" s="2"/>
      <c r="H203" s="2"/>
      <c r="I203" s="2"/>
      <c r="J203" s="2"/>
      <c r="K203" s="2"/>
      <c r="L203" s="2"/>
      <c r="O203" s="3"/>
      <c r="Q203" s="10"/>
    </row>
    <row r="204" spans="2:17" x14ac:dyDescent="0.2">
      <c r="B204" s="1"/>
      <c r="D204" s="2"/>
      <c r="E204" s="2"/>
      <c r="F204" s="2"/>
      <c r="G204" s="2"/>
      <c r="H204" s="2"/>
      <c r="I204" s="2"/>
      <c r="J204" s="2"/>
      <c r="K204" s="2"/>
      <c r="L204" s="2"/>
      <c r="O204" s="3"/>
      <c r="Q204" s="10"/>
    </row>
    <row r="205" spans="2:17" x14ac:dyDescent="0.2">
      <c r="B205" s="1"/>
      <c r="D205" s="2"/>
      <c r="E205" s="2"/>
      <c r="F205" s="2"/>
      <c r="G205" s="2"/>
      <c r="H205" s="2"/>
      <c r="I205" s="2"/>
      <c r="J205" s="2"/>
      <c r="K205" s="2"/>
      <c r="L205" s="2"/>
      <c r="O205" s="3"/>
      <c r="Q205" s="10"/>
    </row>
    <row r="206" spans="2:17" x14ac:dyDescent="0.2">
      <c r="B206" s="1"/>
      <c r="D206" s="2"/>
      <c r="E206" s="2"/>
      <c r="F206" s="2"/>
      <c r="G206" s="2"/>
      <c r="H206" s="2"/>
      <c r="I206" s="2"/>
      <c r="J206" s="2"/>
      <c r="K206" s="2"/>
      <c r="L206" s="2"/>
      <c r="O206" s="3"/>
      <c r="Q206" s="10"/>
    </row>
    <row r="207" spans="2:17" x14ac:dyDescent="0.2">
      <c r="B207" s="1"/>
      <c r="D207" s="2"/>
      <c r="E207" s="2"/>
      <c r="F207" s="2"/>
      <c r="G207" s="2"/>
      <c r="H207" s="2"/>
      <c r="I207" s="2"/>
      <c r="J207" s="2"/>
      <c r="K207" s="2"/>
      <c r="L207" s="2"/>
      <c r="Q207" s="10"/>
    </row>
    <row r="208" spans="2:17" x14ac:dyDescent="0.2">
      <c r="B208" s="1"/>
      <c r="D208" s="2"/>
      <c r="E208" s="2"/>
      <c r="F208" s="2"/>
      <c r="G208" s="2"/>
      <c r="H208" s="2"/>
      <c r="I208" s="2"/>
      <c r="J208" s="2"/>
      <c r="K208" s="2"/>
      <c r="L208" s="2"/>
      <c r="O208" s="3"/>
      <c r="Q208" s="10"/>
    </row>
    <row r="209" spans="2:17" x14ac:dyDescent="0.2">
      <c r="B209" s="1"/>
      <c r="D209" s="2"/>
      <c r="E209" s="2"/>
      <c r="F209" s="2"/>
      <c r="G209" s="2"/>
      <c r="H209" s="2"/>
      <c r="I209" s="2"/>
      <c r="J209" s="2"/>
      <c r="K209" s="2"/>
      <c r="L209" s="2"/>
      <c r="O209" s="3"/>
      <c r="Q209" s="10"/>
    </row>
    <row r="210" spans="2:17" x14ac:dyDescent="0.2">
      <c r="B210" s="1"/>
      <c r="D210" s="2"/>
      <c r="E210" s="2"/>
      <c r="F210" s="2"/>
      <c r="G210" s="2"/>
      <c r="H210" s="2"/>
      <c r="I210" s="2"/>
      <c r="J210" s="2"/>
      <c r="K210" s="2"/>
      <c r="L210" s="2"/>
      <c r="O210" s="3"/>
      <c r="Q210" s="10"/>
    </row>
    <row r="211" spans="2:17" x14ac:dyDescent="0.2">
      <c r="B211" s="1"/>
      <c r="D211" s="2"/>
      <c r="E211" s="2"/>
      <c r="F211" s="2"/>
      <c r="G211" s="2"/>
      <c r="H211" s="2"/>
      <c r="I211" s="2"/>
      <c r="J211" s="2"/>
      <c r="K211" s="2"/>
      <c r="L211" s="2"/>
      <c r="O211" s="3"/>
      <c r="Q211" s="10"/>
    </row>
    <row r="212" spans="2:17" x14ac:dyDescent="0.2">
      <c r="B212" s="1"/>
      <c r="D212" s="2"/>
      <c r="E212" s="2"/>
      <c r="F212" s="2"/>
      <c r="G212" s="2"/>
      <c r="H212" s="2"/>
      <c r="I212" s="2"/>
      <c r="J212" s="2"/>
      <c r="K212" s="2"/>
      <c r="L212" s="2"/>
      <c r="O212" s="3"/>
      <c r="Q212" s="10"/>
    </row>
    <row r="213" spans="2:17" x14ac:dyDescent="0.2">
      <c r="B213" s="1"/>
      <c r="D213" s="2"/>
      <c r="E213" s="2"/>
      <c r="F213" s="2"/>
      <c r="G213" s="2"/>
      <c r="H213" s="2"/>
      <c r="I213" s="2"/>
      <c r="J213" s="2"/>
      <c r="K213" s="2"/>
      <c r="L213" s="2"/>
      <c r="O213" s="3"/>
      <c r="Q213" s="10"/>
    </row>
    <row r="214" spans="2:17" x14ac:dyDescent="0.2">
      <c r="B214" s="1"/>
      <c r="D214" s="2"/>
      <c r="E214" s="2"/>
      <c r="F214" s="2"/>
      <c r="G214" s="2"/>
      <c r="H214" s="2"/>
      <c r="I214" s="2"/>
      <c r="J214" s="2"/>
      <c r="K214" s="2"/>
      <c r="L214" s="2"/>
      <c r="O214" s="3"/>
      <c r="Q214" s="10"/>
    </row>
    <row r="215" spans="2:17" x14ac:dyDescent="0.2">
      <c r="B215" s="1"/>
      <c r="D215" s="2"/>
      <c r="E215" s="2"/>
      <c r="F215" s="2"/>
      <c r="G215" s="2"/>
      <c r="H215" s="2"/>
      <c r="I215" s="2"/>
      <c r="J215" s="2"/>
      <c r="K215" s="2"/>
      <c r="L215" s="2"/>
      <c r="Q215" s="10"/>
    </row>
    <row r="216" spans="2:17" x14ac:dyDescent="0.2">
      <c r="B216" s="1"/>
      <c r="D216" s="2"/>
      <c r="E216" s="2"/>
      <c r="F216" s="2"/>
      <c r="G216" s="2"/>
      <c r="H216" s="2"/>
      <c r="I216" s="2"/>
      <c r="J216" s="2"/>
      <c r="K216" s="2"/>
      <c r="L216" s="2"/>
      <c r="O216" s="3"/>
      <c r="Q216" s="10"/>
    </row>
    <row r="217" spans="2:17" x14ac:dyDescent="0.2">
      <c r="B217" s="1"/>
      <c r="D217" s="2"/>
      <c r="E217" s="2"/>
      <c r="F217" s="2"/>
      <c r="G217" s="2"/>
      <c r="H217" s="2"/>
      <c r="I217" s="2"/>
      <c r="J217" s="2"/>
      <c r="K217" s="2"/>
      <c r="L217" s="2"/>
      <c r="O217" s="3"/>
      <c r="Q217" s="10"/>
    </row>
    <row r="218" spans="2:17" x14ac:dyDescent="0.2">
      <c r="B218" s="1"/>
      <c r="D218" s="2"/>
      <c r="E218" s="2"/>
      <c r="F218" s="2"/>
      <c r="G218" s="2"/>
      <c r="H218" s="2"/>
      <c r="I218" s="2"/>
      <c r="J218" s="2"/>
      <c r="K218" s="2"/>
      <c r="L218" s="2"/>
      <c r="O218" s="3"/>
      <c r="Q218" s="10"/>
    </row>
    <row r="219" spans="2:17" x14ac:dyDescent="0.2">
      <c r="B219" s="1"/>
      <c r="D219" s="2"/>
      <c r="E219" s="2"/>
      <c r="F219" s="2"/>
      <c r="G219" s="2"/>
      <c r="H219" s="2"/>
      <c r="I219" s="2"/>
      <c r="J219" s="2"/>
      <c r="K219" s="2"/>
      <c r="L219" s="2"/>
      <c r="O219" s="3"/>
      <c r="Q219" s="10"/>
    </row>
    <row r="220" spans="2:17" x14ac:dyDescent="0.2">
      <c r="B220" s="1"/>
      <c r="D220" s="2"/>
      <c r="E220" s="2"/>
      <c r="F220" s="2"/>
      <c r="G220" s="2"/>
      <c r="H220" s="2"/>
      <c r="I220" s="2"/>
      <c r="J220" s="2"/>
      <c r="K220" s="2"/>
      <c r="L220" s="2"/>
      <c r="O220" s="3"/>
      <c r="Q220" s="10"/>
    </row>
    <row r="221" spans="2:17" x14ac:dyDescent="0.2">
      <c r="B221" s="1"/>
      <c r="D221" s="2"/>
      <c r="E221" s="2"/>
      <c r="F221" s="2"/>
      <c r="G221" s="2"/>
      <c r="H221" s="2"/>
      <c r="I221" s="2"/>
      <c r="J221" s="2"/>
      <c r="K221" s="2"/>
      <c r="L221" s="2"/>
      <c r="O221" s="3"/>
      <c r="Q221" s="10"/>
    </row>
    <row r="222" spans="2:17" x14ac:dyDescent="0.2">
      <c r="B222" s="1"/>
      <c r="D222" s="2"/>
      <c r="E222" s="2"/>
      <c r="F222" s="2"/>
      <c r="G222" s="2"/>
      <c r="H222" s="2"/>
      <c r="I222" s="2"/>
      <c r="J222" s="2"/>
      <c r="K222" s="2"/>
      <c r="L222" s="2"/>
      <c r="O222" s="3"/>
      <c r="Q222" s="10"/>
    </row>
    <row r="223" spans="2:17" x14ac:dyDescent="0.2">
      <c r="B223" s="1"/>
      <c r="D223" s="2"/>
      <c r="E223" s="2"/>
      <c r="F223" s="2"/>
      <c r="G223" s="2"/>
      <c r="H223" s="2"/>
      <c r="I223" s="2"/>
      <c r="J223" s="2"/>
      <c r="K223" s="2"/>
      <c r="L223" s="2"/>
      <c r="O223" s="3"/>
      <c r="Q223" s="10"/>
    </row>
    <row r="224" spans="2:17" x14ac:dyDescent="0.2">
      <c r="B224" s="1"/>
      <c r="D224" s="2"/>
      <c r="E224" s="2"/>
      <c r="F224" s="2"/>
      <c r="G224" s="2"/>
      <c r="H224" s="2"/>
      <c r="I224" s="2"/>
      <c r="J224" s="2"/>
      <c r="K224" s="2"/>
      <c r="L224" s="2"/>
      <c r="O224" s="3"/>
      <c r="Q224" s="10"/>
    </row>
    <row r="225" spans="2:17" x14ac:dyDescent="0.2">
      <c r="B225" s="1"/>
      <c r="D225" s="2"/>
      <c r="E225" s="2"/>
      <c r="F225" s="2"/>
      <c r="G225" s="2"/>
      <c r="H225" s="2"/>
      <c r="I225" s="2"/>
      <c r="J225" s="2"/>
      <c r="K225" s="2"/>
      <c r="L225" s="2"/>
      <c r="O225" s="3"/>
      <c r="Q225" s="10"/>
    </row>
    <row r="226" spans="2:17" x14ac:dyDescent="0.2">
      <c r="B226" s="1"/>
      <c r="D226" s="2"/>
      <c r="E226" s="2"/>
      <c r="F226" s="2"/>
      <c r="G226" s="2"/>
      <c r="H226" s="2"/>
      <c r="I226" s="2"/>
      <c r="J226" s="2"/>
      <c r="K226" s="2"/>
      <c r="L226" s="2"/>
      <c r="O226" s="3"/>
      <c r="Q226" s="10"/>
    </row>
    <row r="227" spans="2:17" x14ac:dyDescent="0.2">
      <c r="B227" s="1"/>
      <c r="D227" s="2"/>
      <c r="E227" s="2"/>
      <c r="F227" s="2"/>
      <c r="G227" s="2"/>
      <c r="H227" s="2"/>
      <c r="I227" s="2"/>
      <c r="J227" s="2"/>
      <c r="K227" s="2"/>
      <c r="L227" s="2"/>
      <c r="O227" s="3"/>
      <c r="Q227" s="10"/>
    </row>
    <row r="228" spans="2:17" x14ac:dyDescent="0.2">
      <c r="B228" s="1"/>
      <c r="D228" s="2"/>
      <c r="E228" s="2"/>
      <c r="F228" s="2"/>
      <c r="G228" s="2"/>
      <c r="H228" s="2"/>
      <c r="I228" s="2"/>
      <c r="J228" s="2"/>
      <c r="K228" s="2"/>
      <c r="L228" s="2"/>
      <c r="O228" s="3"/>
      <c r="Q228" s="10"/>
    </row>
    <row r="229" spans="2:17" x14ac:dyDescent="0.2">
      <c r="B229" s="1"/>
      <c r="D229" s="2"/>
      <c r="E229" s="2"/>
      <c r="F229" s="2"/>
      <c r="G229" s="2"/>
      <c r="H229" s="2"/>
      <c r="I229" s="2"/>
      <c r="J229" s="2"/>
      <c r="K229" s="2"/>
      <c r="L229" s="2"/>
      <c r="O229" s="3"/>
      <c r="Q229" s="10"/>
    </row>
    <row r="230" spans="2:17" x14ac:dyDescent="0.2">
      <c r="B230" s="1"/>
      <c r="D230" s="2"/>
      <c r="E230" s="2"/>
      <c r="F230" s="2"/>
      <c r="G230" s="2"/>
      <c r="H230" s="2"/>
      <c r="I230" s="2"/>
      <c r="J230" s="2"/>
      <c r="K230" s="2"/>
      <c r="L230" s="2"/>
      <c r="O230" s="3"/>
      <c r="Q230" s="10"/>
    </row>
    <row r="231" spans="2:17" x14ac:dyDescent="0.2">
      <c r="B231" s="1"/>
      <c r="D231" s="2"/>
      <c r="E231" s="2"/>
      <c r="F231" s="2"/>
      <c r="G231" s="2"/>
      <c r="H231" s="2"/>
      <c r="I231" s="2"/>
      <c r="J231" s="2"/>
      <c r="K231" s="2"/>
      <c r="L231" s="2"/>
      <c r="O231" s="3"/>
      <c r="Q231" s="10"/>
    </row>
    <row r="232" spans="2:17" x14ac:dyDescent="0.2">
      <c r="B232" s="1"/>
      <c r="D232" s="2"/>
      <c r="E232" s="2"/>
      <c r="F232" s="2"/>
      <c r="G232" s="2"/>
      <c r="H232" s="2"/>
      <c r="I232" s="2"/>
      <c r="J232" s="2"/>
      <c r="K232" s="2"/>
      <c r="L232" s="2"/>
      <c r="O232" s="3"/>
      <c r="Q232" s="10"/>
    </row>
    <row r="233" spans="2:17" x14ac:dyDescent="0.2">
      <c r="B233" s="1"/>
      <c r="D233" s="2"/>
      <c r="E233" s="2"/>
      <c r="F233" s="2"/>
      <c r="G233" s="2"/>
      <c r="H233" s="2"/>
      <c r="I233" s="2"/>
      <c r="J233" s="2"/>
      <c r="K233" s="2"/>
      <c r="L233" s="2"/>
      <c r="O233" s="3"/>
      <c r="Q233" s="10"/>
    </row>
    <row r="234" spans="2:17" x14ac:dyDescent="0.2">
      <c r="B234" s="1"/>
      <c r="D234" s="2"/>
      <c r="E234" s="2"/>
      <c r="F234" s="2"/>
      <c r="G234" s="2"/>
      <c r="H234" s="2"/>
      <c r="I234" s="2"/>
      <c r="J234" s="2"/>
      <c r="K234" s="2"/>
      <c r="L234" s="2"/>
      <c r="O234" s="3"/>
      <c r="Q234" s="10"/>
    </row>
    <row r="235" spans="2:17" x14ac:dyDescent="0.2">
      <c r="B235" s="1"/>
      <c r="D235" s="2"/>
      <c r="E235" s="2"/>
      <c r="F235" s="2"/>
      <c r="G235" s="2"/>
      <c r="H235" s="2"/>
      <c r="I235" s="2"/>
      <c r="J235" s="2"/>
      <c r="K235" s="2"/>
      <c r="L235" s="2"/>
      <c r="O235" s="3"/>
      <c r="Q235" s="10"/>
    </row>
    <row r="236" spans="2:17" x14ac:dyDescent="0.2">
      <c r="B236" s="1"/>
      <c r="D236" s="2"/>
      <c r="E236" s="2"/>
      <c r="F236" s="2"/>
      <c r="G236" s="2"/>
      <c r="H236" s="2"/>
      <c r="I236" s="2"/>
      <c r="J236" s="2"/>
      <c r="K236" s="2"/>
      <c r="L236" s="2"/>
      <c r="O236" s="3"/>
      <c r="Q236" s="10"/>
    </row>
    <row r="237" spans="2:17" x14ac:dyDescent="0.2">
      <c r="B237" s="1"/>
      <c r="D237" s="2"/>
      <c r="E237" s="2"/>
      <c r="F237" s="2"/>
      <c r="G237" s="2"/>
      <c r="H237" s="2"/>
      <c r="I237" s="2"/>
      <c r="J237" s="2"/>
      <c r="K237" s="2"/>
      <c r="L237" s="2"/>
      <c r="O237" s="3"/>
      <c r="Q237" s="10"/>
    </row>
    <row r="238" spans="2:17" x14ac:dyDescent="0.2">
      <c r="B238" s="1"/>
      <c r="D238" s="2"/>
      <c r="E238" s="2"/>
      <c r="F238" s="2"/>
      <c r="G238" s="2"/>
      <c r="H238" s="2"/>
      <c r="I238" s="2"/>
      <c r="J238" s="2"/>
      <c r="K238" s="2"/>
      <c r="L238" s="2"/>
      <c r="O238" s="3"/>
      <c r="Q238" s="10"/>
    </row>
    <row r="239" spans="2:17" x14ac:dyDescent="0.2">
      <c r="B239" s="1"/>
      <c r="D239" s="2"/>
      <c r="E239" s="2"/>
      <c r="F239" s="2"/>
      <c r="G239" s="2"/>
      <c r="H239" s="2"/>
      <c r="I239" s="2"/>
      <c r="J239" s="2"/>
      <c r="K239" s="2"/>
      <c r="L239" s="2"/>
      <c r="O239" s="3"/>
      <c r="Q239" s="10"/>
    </row>
    <row r="240" spans="2:17" x14ac:dyDescent="0.2">
      <c r="B240" s="1"/>
      <c r="D240" s="2"/>
      <c r="E240" s="2"/>
      <c r="F240" s="2"/>
      <c r="G240" s="2"/>
      <c r="H240" s="2"/>
      <c r="I240" s="2"/>
      <c r="J240" s="2"/>
      <c r="K240" s="2"/>
      <c r="L240" s="2"/>
      <c r="O240" s="3"/>
      <c r="Q240" s="10"/>
    </row>
    <row r="241" spans="2:17" x14ac:dyDescent="0.2">
      <c r="B241" s="1"/>
      <c r="D241" s="2"/>
      <c r="E241" s="2"/>
      <c r="F241" s="2"/>
      <c r="G241" s="2"/>
      <c r="H241" s="2"/>
      <c r="I241" s="2"/>
      <c r="J241" s="2"/>
      <c r="K241" s="2"/>
      <c r="L241" s="2"/>
      <c r="Q241" s="10"/>
    </row>
    <row r="242" spans="2:17" x14ac:dyDescent="0.2">
      <c r="B242" s="1"/>
      <c r="D242" s="2"/>
      <c r="E242" s="2"/>
      <c r="F242" s="2"/>
      <c r="G242" s="2"/>
      <c r="H242" s="2"/>
      <c r="I242" s="2"/>
      <c r="J242" s="2"/>
      <c r="K242" s="2"/>
      <c r="L242" s="2"/>
      <c r="O242" s="3"/>
      <c r="Q242" s="10"/>
    </row>
    <row r="243" spans="2:17" x14ac:dyDescent="0.2">
      <c r="B243" s="1"/>
      <c r="D243" s="2"/>
      <c r="E243" s="2"/>
      <c r="F243" s="2"/>
      <c r="G243" s="2"/>
      <c r="H243" s="2"/>
      <c r="I243" s="2"/>
      <c r="J243" s="2"/>
      <c r="K243" s="2"/>
      <c r="L243" s="2"/>
      <c r="O243" s="3"/>
      <c r="Q243" s="10"/>
    </row>
    <row r="244" spans="2:17" x14ac:dyDescent="0.2">
      <c r="B244" s="1"/>
      <c r="D244" s="2"/>
      <c r="E244" s="2"/>
      <c r="F244" s="2"/>
      <c r="G244" s="2"/>
      <c r="H244" s="2"/>
      <c r="I244" s="2"/>
      <c r="J244" s="2"/>
      <c r="K244" s="2"/>
      <c r="L244" s="2"/>
      <c r="O244" s="3"/>
      <c r="Q244" s="10"/>
    </row>
    <row r="245" spans="2:17" x14ac:dyDescent="0.2">
      <c r="B245" s="1"/>
      <c r="D245" s="2"/>
      <c r="E245" s="2"/>
      <c r="F245" s="2"/>
      <c r="G245" s="2"/>
      <c r="H245" s="2"/>
      <c r="I245" s="2"/>
      <c r="J245" s="2"/>
      <c r="K245" s="2"/>
      <c r="L245" s="2"/>
      <c r="O245" s="3"/>
      <c r="Q245" s="10"/>
    </row>
    <row r="246" spans="2:17" x14ac:dyDescent="0.2">
      <c r="B246" s="1"/>
      <c r="D246" s="2"/>
      <c r="E246" s="2"/>
      <c r="F246" s="2"/>
      <c r="G246" s="2"/>
      <c r="H246" s="2"/>
      <c r="I246" s="2"/>
      <c r="J246" s="2"/>
      <c r="K246" s="2"/>
      <c r="L246" s="2"/>
      <c r="O246" s="3"/>
      <c r="Q246" s="10"/>
    </row>
    <row r="247" spans="2:17" x14ac:dyDescent="0.2">
      <c r="B247" s="1"/>
      <c r="D247" s="2"/>
      <c r="E247" s="2"/>
      <c r="F247" s="2"/>
      <c r="G247" s="2"/>
      <c r="H247" s="2"/>
      <c r="I247" s="2"/>
      <c r="J247" s="2"/>
      <c r="K247" s="2"/>
      <c r="L247" s="2"/>
      <c r="O247" s="3"/>
      <c r="Q247" s="10"/>
    </row>
    <row r="248" spans="2:17" x14ac:dyDescent="0.2">
      <c r="B248" s="1"/>
      <c r="D248" s="2"/>
      <c r="E248" s="2"/>
      <c r="F248" s="2"/>
      <c r="G248" s="2"/>
      <c r="H248" s="2"/>
      <c r="I248" s="2"/>
      <c r="J248" s="2"/>
      <c r="K248" s="2"/>
      <c r="L248" s="2"/>
      <c r="O248" s="3"/>
      <c r="Q248" s="10"/>
    </row>
    <row r="249" spans="2:17" x14ac:dyDescent="0.2">
      <c r="B249" s="1"/>
      <c r="D249" s="2"/>
      <c r="E249" s="2"/>
      <c r="F249" s="2"/>
      <c r="G249" s="2"/>
      <c r="H249" s="2"/>
      <c r="I249" s="2"/>
      <c r="J249" s="2"/>
      <c r="K249" s="2"/>
      <c r="L249" s="2"/>
      <c r="O249" s="3"/>
      <c r="Q249" s="10"/>
    </row>
    <row r="250" spans="2:17" x14ac:dyDescent="0.2">
      <c r="B250" s="1"/>
      <c r="D250" s="2"/>
      <c r="E250" s="2"/>
      <c r="F250" s="2"/>
      <c r="G250" s="2"/>
      <c r="H250" s="2"/>
      <c r="I250" s="2"/>
      <c r="J250" s="2"/>
      <c r="K250" s="2"/>
      <c r="L250" s="2"/>
      <c r="O250" s="3"/>
      <c r="Q250" s="10"/>
    </row>
    <row r="251" spans="2:17" x14ac:dyDescent="0.2">
      <c r="B251" s="1"/>
      <c r="D251" s="2"/>
      <c r="E251" s="2"/>
      <c r="F251" s="2"/>
      <c r="G251" s="2"/>
      <c r="H251" s="2"/>
      <c r="I251" s="2"/>
      <c r="J251" s="2"/>
      <c r="K251" s="2"/>
      <c r="L251" s="2"/>
      <c r="O251" s="3"/>
      <c r="Q251" s="10"/>
    </row>
    <row r="252" spans="2:17" x14ac:dyDescent="0.2">
      <c r="B252" s="1"/>
      <c r="D252" s="2"/>
      <c r="E252" s="2"/>
      <c r="F252" s="2"/>
      <c r="G252" s="2"/>
      <c r="H252" s="2"/>
      <c r="I252" s="2"/>
      <c r="J252" s="2"/>
      <c r="K252" s="2"/>
      <c r="L252" s="2"/>
      <c r="O252" s="3"/>
      <c r="Q252" s="10"/>
    </row>
    <row r="253" spans="2:17" x14ac:dyDescent="0.2">
      <c r="B253" s="1"/>
      <c r="D253" s="2"/>
      <c r="E253" s="2"/>
      <c r="F253" s="2"/>
      <c r="G253" s="2"/>
      <c r="H253" s="2"/>
      <c r="I253" s="2"/>
      <c r="J253" s="2"/>
      <c r="K253" s="2"/>
      <c r="L253" s="2"/>
      <c r="O253" s="3"/>
      <c r="Q253" s="10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77E6B-6517-B844-BD95-1587EDFCE8B0}">
  <dimension ref="A1:T24"/>
  <sheetViews>
    <sheetView showGridLines="0" topLeftCell="D1" workbookViewId="0">
      <selection activeCell="O36" sqref="O36"/>
    </sheetView>
  </sheetViews>
  <sheetFormatPr baseColWidth="10" defaultRowHeight="16" x14ac:dyDescent="0.2"/>
  <cols>
    <col min="16" max="16" width="19" bestFit="1" customWidth="1"/>
    <col min="17" max="17" width="19.6640625" bestFit="1" customWidth="1"/>
    <col min="18" max="18" width="14.5" bestFit="1" customWidth="1"/>
    <col min="19" max="19" width="20.1640625" bestFit="1" customWidth="1"/>
    <col min="20" max="20" width="16.83203125" bestFit="1" customWidth="1"/>
  </cols>
  <sheetData>
    <row r="1" spans="1:20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 t="s">
        <v>39</v>
      </c>
      <c r="R1" s="4"/>
      <c r="S1" s="4"/>
      <c r="T1" s="4"/>
    </row>
    <row r="2" spans="1:20" ht="19" x14ac:dyDescent="0.2">
      <c r="A2" s="4"/>
      <c r="B2" s="4"/>
      <c r="C2" s="4"/>
      <c r="D2" s="4"/>
      <c r="E2" s="8" t="s">
        <v>223</v>
      </c>
      <c r="F2" s="7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ht="19" x14ac:dyDescent="0.25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4"/>
      <c r="P4" s="5" t="s">
        <v>38</v>
      </c>
      <c r="Q4" s="5" t="s">
        <v>52</v>
      </c>
      <c r="R4" s="5" t="s">
        <v>40</v>
      </c>
      <c r="S4" s="5" t="s">
        <v>51</v>
      </c>
      <c r="T4" s="5" t="s">
        <v>53</v>
      </c>
    </row>
    <row r="5" spans="1:20" x14ac:dyDescent="0.2">
      <c r="A5" s="1">
        <v>46276</v>
      </c>
      <c r="B5" t="s">
        <v>14</v>
      </c>
      <c r="C5" s="2">
        <v>2185.5</v>
      </c>
      <c r="D5" s="2">
        <v>2232.6</v>
      </c>
      <c r="E5" s="2">
        <v>2185.5</v>
      </c>
      <c r="F5" s="2">
        <v>2204.1</v>
      </c>
      <c r="G5" s="2">
        <v>2200.8000000000002</v>
      </c>
      <c r="H5" s="2">
        <v>2200.8000000000002</v>
      </c>
      <c r="I5" s="2">
        <v>2210.94</v>
      </c>
      <c r="J5" s="2">
        <v>3350</v>
      </c>
      <c r="K5" s="2">
        <v>1976.8</v>
      </c>
      <c r="L5" t="s">
        <v>108</v>
      </c>
      <c r="M5" t="s">
        <v>109</v>
      </c>
      <c r="N5" t="s">
        <v>110</v>
      </c>
      <c r="P5" s="27">
        <v>0</v>
      </c>
      <c r="T5" s="40" t="s">
        <v>224</v>
      </c>
    </row>
    <row r="6" spans="1:20" x14ac:dyDescent="0.2">
      <c r="A6" s="1">
        <v>46275</v>
      </c>
      <c r="B6" t="s">
        <v>14</v>
      </c>
      <c r="C6" s="2">
        <v>2199</v>
      </c>
      <c r="D6" s="2">
        <v>2232</v>
      </c>
      <c r="E6" s="2">
        <v>2190.6</v>
      </c>
      <c r="F6" s="2">
        <v>2208</v>
      </c>
      <c r="G6" s="2">
        <v>2204.1</v>
      </c>
      <c r="H6" s="2">
        <v>2204.1</v>
      </c>
      <c r="I6" s="2">
        <v>2205.2800000000002</v>
      </c>
      <c r="J6" s="2">
        <v>3350</v>
      </c>
      <c r="K6" s="2">
        <v>1976.8</v>
      </c>
      <c r="L6" t="s">
        <v>111</v>
      </c>
      <c r="M6" t="s">
        <v>112</v>
      </c>
      <c r="N6" s="3">
        <v>79204</v>
      </c>
      <c r="P6" s="24">
        <f>(H6/H5)-1</f>
        <v>1.4994547437294781E-3</v>
      </c>
      <c r="Q6" s="24">
        <f>_xlfn.STDEV.S(P6:P19)</f>
        <v>1.6369050288233721E-2</v>
      </c>
      <c r="R6" s="32">
        <f>AVERAGE(P6:P19)</f>
        <v>2.7833391335286362E-3</v>
      </c>
      <c r="S6" s="24">
        <f>(H19-H5)/H5</f>
        <v>3.7849872773536769E-2</v>
      </c>
      <c r="T6" s="39">
        <f>SLOPE(P6:P19,TECHM!R31:R44)</f>
        <v>0.57311926537789837</v>
      </c>
    </row>
    <row r="7" spans="1:20" x14ac:dyDescent="0.2">
      <c r="A7" s="1">
        <v>46274</v>
      </c>
      <c r="B7" t="s">
        <v>14</v>
      </c>
      <c r="C7" s="2">
        <v>2237</v>
      </c>
      <c r="D7" s="2">
        <v>2237</v>
      </c>
      <c r="E7" s="2">
        <v>2193.1999999999998</v>
      </c>
      <c r="F7" s="2">
        <v>2255.5</v>
      </c>
      <c r="G7" s="2">
        <v>2208</v>
      </c>
      <c r="H7" s="2">
        <v>2208</v>
      </c>
      <c r="I7" s="2">
        <v>2207.41</v>
      </c>
      <c r="J7" s="2">
        <v>3350</v>
      </c>
      <c r="K7" s="2">
        <v>1976.8</v>
      </c>
      <c r="L7" t="s">
        <v>113</v>
      </c>
      <c r="M7" t="s">
        <v>114</v>
      </c>
      <c r="N7" t="s">
        <v>115</v>
      </c>
      <c r="P7" s="24">
        <f>(H7/H6)-1</f>
        <v>1.7694296991970226E-3</v>
      </c>
      <c r="T7" s="40" t="s">
        <v>225</v>
      </c>
    </row>
    <row r="8" spans="1:20" x14ac:dyDescent="0.2">
      <c r="A8" s="1">
        <v>46273</v>
      </c>
      <c r="B8" t="s">
        <v>14</v>
      </c>
      <c r="C8" s="2">
        <v>2270</v>
      </c>
      <c r="D8" s="2">
        <v>2274.5</v>
      </c>
      <c r="E8" s="2">
        <v>2244</v>
      </c>
      <c r="F8" s="2">
        <v>2270</v>
      </c>
      <c r="G8" s="2">
        <v>2255.5</v>
      </c>
      <c r="H8" s="2">
        <v>2255.5</v>
      </c>
      <c r="I8" s="2">
        <v>2263.52</v>
      </c>
      <c r="J8" s="2">
        <v>3350</v>
      </c>
      <c r="K8" s="2">
        <v>1976.8</v>
      </c>
      <c r="L8" t="s">
        <v>116</v>
      </c>
      <c r="M8" t="s">
        <v>117</v>
      </c>
      <c r="N8" s="3">
        <v>70112</v>
      </c>
      <c r="P8" s="24">
        <f t="shared" ref="P8:P19" si="0">(H8/H7)-1</f>
        <v>2.1512681159420399E-2</v>
      </c>
      <c r="T8" s="39">
        <f>SLOPE(P6:P19,TECHM!R48:R61)</f>
        <v>0.5422884130604495</v>
      </c>
    </row>
    <row r="9" spans="1:20" x14ac:dyDescent="0.2">
      <c r="A9" s="1">
        <v>46272</v>
      </c>
      <c r="B9" t="s">
        <v>14</v>
      </c>
      <c r="C9" s="2">
        <v>2290.1</v>
      </c>
      <c r="D9" s="2">
        <v>2299.9</v>
      </c>
      <c r="E9" s="2">
        <v>2260.1</v>
      </c>
      <c r="F9" s="2">
        <v>2304</v>
      </c>
      <c r="G9" s="2">
        <v>2270</v>
      </c>
      <c r="H9" s="2">
        <v>2270</v>
      </c>
      <c r="I9" s="2">
        <v>2273.31</v>
      </c>
      <c r="J9" s="2">
        <v>3350</v>
      </c>
      <c r="K9" s="2">
        <v>1976.8</v>
      </c>
      <c r="L9" t="s">
        <v>118</v>
      </c>
      <c r="M9" t="s">
        <v>119</v>
      </c>
      <c r="N9" s="3">
        <v>70867</v>
      </c>
      <c r="P9" s="24">
        <f t="shared" si="0"/>
        <v>6.4287297716691949E-3</v>
      </c>
      <c r="T9" s="40" t="s">
        <v>226</v>
      </c>
    </row>
    <row r="10" spans="1:20" x14ac:dyDescent="0.2">
      <c r="A10" s="1">
        <v>46269</v>
      </c>
      <c r="B10" t="s">
        <v>14</v>
      </c>
      <c r="C10" s="2">
        <v>2330</v>
      </c>
      <c r="D10" s="2">
        <v>2363.9</v>
      </c>
      <c r="E10" s="2">
        <v>2302.4</v>
      </c>
      <c r="F10" s="2">
        <v>2320.1</v>
      </c>
      <c r="G10" s="2">
        <v>2304</v>
      </c>
      <c r="H10" s="2">
        <v>2304</v>
      </c>
      <c r="I10" s="2">
        <v>2320.69</v>
      </c>
      <c r="J10" s="2">
        <v>3350</v>
      </c>
      <c r="K10" s="2">
        <v>1976.8</v>
      </c>
      <c r="L10" t="s">
        <v>120</v>
      </c>
      <c r="M10" t="s">
        <v>121</v>
      </c>
      <c r="N10" t="s">
        <v>122</v>
      </c>
      <c r="P10" s="24">
        <f t="shared" si="0"/>
        <v>1.497797356828201E-2</v>
      </c>
      <c r="T10" s="39">
        <f>SLOPE(P8:P19,TECHM!R66:R77)</f>
        <v>1.1666141634232492</v>
      </c>
    </row>
    <row r="11" spans="1:20" x14ac:dyDescent="0.2">
      <c r="A11" s="1">
        <v>46268</v>
      </c>
      <c r="B11" t="s">
        <v>14</v>
      </c>
      <c r="C11" s="2">
        <v>2353.6</v>
      </c>
      <c r="D11" s="2">
        <v>2353.6</v>
      </c>
      <c r="E11" s="2">
        <v>2316.1</v>
      </c>
      <c r="F11" s="2">
        <v>2348</v>
      </c>
      <c r="G11" s="2">
        <v>2320.1</v>
      </c>
      <c r="H11" s="2">
        <v>2320.1</v>
      </c>
      <c r="I11" s="2">
        <v>2332.39</v>
      </c>
      <c r="J11" s="2">
        <v>3350</v>
      </c>
      <c r="K11" s="2">
        <v>1976.8</v>
      </c>
      <c r="L11" t="s">
        <v>123</v>
      </c>
      <c r="M11" t="s">
        <v>124</v>
      </c>
      <c r="N11" s="3">
        <v>90065</v>
      </c>
      <c r="P11" s="24">
        <f t="shared" si="0"/>
        <v>6.9878472222222321E-3</v>
      </c>
    </row>
    <row r="12" spans="1:20" x14ac:dyDescent="0.2">
      <c r="A12" s="1">
        <v>46267</v>
      </c>
      <c r="B12" t="s">
        <v>14</v>
      </c>
      <c r="C12" s="2">
        <v>2347.9</v>
      </c>
      <c r="D12" s="2">
        <v>2363</v>
      </c>
      <c r="E12" s="2">
        <v>2303.5</v>
      </c>
      <c r="F12" s="2">
        <v>2369</v>
      </c>
      <c r="G12" s="2">
        <v>2348</v>
      </c>
      <c r="H12" s="2">
        <v>2348</v>
      </c>
      <c r="I12" s="2">
        <v>2338.2800000000002</v>
      </c>
      <c r="J12" s="2">
        <v>3350</v>
      </c>
      <c r="K12" s="2">
        <v>1976.8</v>
      </c>
      <c r="L12" t="s">
        <v>125</v>
      </c>
      <c r="M12" t="s">
        <v>126</v>
      </c>
      <c r="N12" s="3">
        <v>96240</v>
      </c>
      <c r="P12" s="24">
        <f t="shared" si="0"/>
        <v>1.2025343735183824E-2</v>
      </c>
    </row>
    <row r="13" spans="1:20" x14ac:dyDescent="0.2">
      <c r="A13" s="1">
        <v>46266</v>
      </c>
      <c r="B13" t="s">
        <v>14</v>
      </c>
      <c r="C13" s="2">
        <v>2355</v>
      </c>
      <c r="D13" s="2">
        <v>2372</v>
      </c>
      <c r="E13" s="2">
        <v>2325</v>
      </c>
      <c r="F13" s="2">
        <v>2399.3000000000002</v>
      </c>
      <c r="G13" s="2">
        <v>2369</v>
      </c>
      <c r="H13" s="2">
        <v>2369</v>
      </c>
      <c r="I13" s="2">
        <v>2354.15</v>
      </c>
      <c r="J13" s="2">
        <v>3350</v>
      </c>
      <c r="K13" s="2">
        <v>1976.8</v>
      </c>
      <c r="L13" t="s">
        <v>127</v>
      </c>
      <c r="M13" t="s">
        <v>128</v>
      </c>
      <c r="N13" s="3">
        <v>84239</v>
      </c>
      <c r="P13" s="24">
        <f t="shared" si="0"/>
        <v>8.9437819420783438E-3</v>
      </c>
    </row>
    <row r="14" spans="1:20" x14ac:dyDescent="0.2">
      <c r="A14" s="1">
        <v>46265</v>
      </c>
      <c r="B14" t="s">
        <v>14</v>
      </c>
      <c r="C14" s="2">
        <v>2342</v>
      </c>
      <c r="D14" s="2">
        <v>2399.3000000000002</v>
      </c>
      <c r="E14" s="2">
        <v>2306.1999999999998</v>
      </c>
      <c r="F14" s="2">
        <v>2342</v>
      </c>
      <c r="G14" s="2">
        <v>2399.3000000000002</v>
      </c>
      <c r="H14" s="2">
        <v>2399.3000000000002</v>
      </c>
      <c r="I14" s="2">
        <v>2355.4299999999998</v>
      </c>
      <c r="J14" s="2">
        <v>3350</v>
      </c>
      <c r="K14" s="2">
        <v>1976.8</v>
      </c>
      <c r="L14" t="s">
        <v>129</v>
      </c>
      <c r="M14" t="s">
        <v>130</v>
      </c>
      <c r="N14" s="3">
        <v>69557</v>
      </c>
      <c r="P14" s="24">
        <f t="shared" si="0"/>
        <v>1.2790206838328544E-2</v>
      </c>
    </row>
    <row r="15" spans="1:20" x14ac:dyDescent="0.2">
      <c r="A15" s="1">
        <v>46262</v>
      </c>
      <c r="B15" t="s">
        <v>14</v>
      </c>
      <c r="C15" s="2">
        <v>2272</v>
      </c>
      <c r="D15" s="2">
        <v>2348.5</v>
      </c>
      <c r="E15" s="2">
        <v>2263.3000000000002</v>
      </c>
      <c r="F15" s="2">
        <v>2248.4</v>
      </c>
      <c r="G15" s="2">
        <v>2342</v>
      </c>
      <c r="H15" s="2">
        <v>2342</v>
      </c>
      <c r="I15" s="2">
        <v>2327.9699999999998</v>
      </c>
      <c r="J15" s="2">
        <v>3350</v>
      </c>
      <c r="K15" s="2">
        <v>1976.8</v>
      </c>
      <c r="L15" t="s">
        <v>131</v>
      </c>
      <c r="M15" t="s">
        <v>132</v>
      </c>
      <c r="N15" t="s">
        <v>133</v>
      </c>
      <c r="P15" s="24">
        <f t="shared" si="0"/>
        <v>-2.3881965573292252E-2</v>
      </c>
    </row>
    <row r="16" spans="1:20" x14ac:dyDescent="0.2">
      <c r="A16" s="1">
        <v>46261</v>
      </c>
      <c r="B16" t="s">
        <v>14</v>
      </c>
      <c r="C16" s="2">
        <v>2270</v>
      </c>
      <c r="D16" s="2">
        <v>2283.6</v>
      </c>
      <c r="E16" s="2">
        <v>2243.9</v>
      </c>
      <c r="F16" s="2">
        <v>2270</v>
      </c>
      <c r="G16" s="2">
        <v>2248.4</v>
      </c>
      <c r="H16" s="2">
        <v>2248.4</v>
      </c>
      <c r="I16" s="2">
        <v>2255.48</v>
      </c>
      <c r="J16" s="2">
        <v>3350</v>
      </c>
      <c r="K16" s="2">
        <v>1976.8</v>
      </c>
      <c r="L16" t="s">
        <v>134</v>
      </c>
      <c r="M16" t="s">
        <v>135</v>
      </c>
      <c r="N16" t="s">
        <v>136</v>
      </c>
      <c r="P16" s="24">
        <f t="shared" si="0"/>
        <v>-3.9965841161400451E-2</v>
      </c>
    </row>
    <row r="17" spans="1:16" x14ac:dyDescent="0.2">
      <c r="A17" s="1">
        <v>46260</v>
      </c>
      <c r="B17" t="s">
        <v>14</v>
      </c>
      <c r="C17" s="2">
        <v>2305.1</v>
      </c>
      <c r="D17" s="2">
        <v>2306.3000000000002</v>
      </c>
      <c r="E17" s="2">
        <v>2266.4</v>
      </c>
      <c r="F17" s="2">
        <v>2296.1999999999998</v>
      </c>
      <c r="G17" s="2">
        <v>2270</v>
      </c>
      <c r="H17" s="2">
        <v>2270</v>
      </c>
      <c r="I17" s="2">
        <v>2277.39</v>
      </c>
      <c r="J17" s="2">
        <v>3350</v>
      </c>
      <c r="K17" s="2">
        <v>1976.8</v>
      </c>
      <c r="L17" t="s">
        <v>137</v>
      </c>
      <c r="M17" t="s">
        <v>138</v>
      </c>
      <c r="N17" s="3">
        <v>59558</v>
      </c>
      <c r="P17" s="24">
        <f t="shared" si="0"/>
        <v>9.6068315246398139E-3</v>
      </c>
    </row>
    <row r="18" spans="1:16" x14ac:dyDescent="0.2">
      <c r="A18" s="1">
        <v>46259</v>
      </c>
      <c r="B18" t="s">
        <v>14</v>
      </c>
      <c r="C18" s="2">
        <v>2305</v>
      </c>
      <c r="D18" s="2">
        <v>2313.5</v>
      </c>
      <c r="E18" s="2">
        <v>2262</v>
      </c>
      <c r="F18" s="2">
        <v>2284.1</v>
      </c>
      <c r="G18" s="2">
        <v>2296.1999999999998</v>
      </c>
      <c r="H18" s="2">
        <v>2296.1999999999998</v>
      </c>
      <c r="I18" s="2">
        <v>2283.2199999999998</v>
      </c>
      <c r="J18" s="2">
        <v>3350</v>
      </c>
      <c r="K18" s="2">
        <v>1976.8</v>
      </c>
      <c r="L18" t="s">
        <v>139</v>
      </c>
      <c r="M18" t="s">
        <v>140</v>
      </c>
      <c r="N18" t="s">
        <v>141</v>
      </c>
      <c r="P18" s="24">
        <f t="shared" si="0"/>
        <v>1.1541850220264216E-2</v>
      </c>
    </row>
    <row r="19" spans="1:16" x14ac:dyDescent="0.2">
      <c r="A19" s="1">
        <v>46258</v>
      </c>
      <c r="B19" t="s">
        <v>14</v>
      </c>
      <c r="C19" s="2">
        <v>2302.4</v>
      </c>
      <c r="D19" s="2">
        <v>2321.6</v>
      </c>
      <c r="E19" s="2">
        <v>2279.5</v>
      </c>
      <c r="F19" s="2">
        <v>2302</v>
      </c>
      <c r="G19" s="2">
        <v>2284.1</v>
      </c>
      <c r="H19" s="2">
        <v>2284.1</v>
      </c>
      <c r="I19" s="2">
        <v>2295.75</v>
      </c>
      <c r="J19" s="2">
        <v>3350</v>
      </c>
      <c r="K19" s="2">
        <v>1976.8</v>
      </c>
      <c r="L19" t="s">
        <v>142</v>
      </c>
      <c r="M19" t="s">
        <v>143</v>
      </c>
      <c r="N19" s="3">
        <v>64928</v>
      </c>
      <c r="P19" s="24">
        <f t="shared" si="0"/>
        <v>-5.2695758209214683E-3</v>
      </c>
    </row>
    <row r="24" spans="1:16" ht="19" x14ac:dyDescent="0.25">
      <c r="P24" s="3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510CD-648B-684D-AD97-7B7AFE8850DF}">
  <dimension ref="A1:T18"/>
  <sheetViews>
    <sheetView showGridLines="0" topLeftCell="C1" workbookViewId="0">
      <selection activeCell="Q26" sqref="Q26"/>
    </sheetView>
  </sheetViews>
  <sheetFormatPr baseColWidth="10" defaultRowHeight="16" x14ac:dyDescent="0.2"/>
  <cols>
    <col min="10" max="10" width="15.33203125" bestFit="1" customWidth="1"/>
    <col min="11" max="11" width="14.6640625" bestFit="1" customWidth="1"/>
    <col min="15" max="15" width="14.33203125" bestFit="1" customWidth="1"/>
    <col min="16" max="16" width="19" bestFit="1" customWidth="1"/>
    <col min="17" max="17" width="19.6640625" bestFit="1" customWidth="1"/>
    <col min="18" max="18" width="14.5" bestFit="1" customWidth="1"/>
    <col min="19" max="19" width="20.1640625" bestFit="1" customWidth="1"/>
    <col min="20" max="20" width="16.83203125" bestFit="1" customWidth="1"/>
  </cols>
  <sheetData>
    <row r="1" spans="1:20" ht="19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4" t="s">
        <v>39</v>
      </c>
      <c r="P1" s="4"/>
      <c r="Q1" s="4"/>
      <c r="R1" s="4"/>
      <c r="S1" s="4"/>
      <c r="T1" s="4"/>
    </row>
    <row r="2" spans="1:20" ht="19" x14ac:dyDescent="0.25">
      <c r="A2" s="5"/>
      <c r="B2" s="5"/>
      <c r="C2" s="5"/>
      <c r="D2" s="5"/>
      <c r="E2" s="8" t="s">
        <v>222</v>
      </c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4"/>
      <c r="R2" s="4"/>
      <c r="S2" s="4"/>
      <c r="T2" s="4"/>
    </row>
    <row r="3" spans="1:20" ht="19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/>
      <c r="P3" s="5" t="s">
        <v>38</v>
      </c>
      <c r="Q3" s="5" t="s">
        <v>52</v>
      </c>
      <c r="R3" s="5" t="s">
        <v>40</v>
      </c>
      <c r="S3" s="5" t="s">
        <v>51</v>
      </c>
      <c r="T3" s="5" t="s">
        <v>53</v>
      </c>
    </row>
    <row r="4" spans="1:20" x14ac:dyDescent="0.2">
      <c r="A4" s="1">
        <v>46276</v>
      </c>
      <c r="B4" t="s">
        <v>14</v>
      </c>
      <c r="C4">
        <v>165.2</v>
      </c>
      <c r="D4">
        <v>167.75</v>
      </c>
      <c r="E4">
        <v>165.16</v>
      </c>
      <c r="F4">
        <v>166.3</v>
      </c>
      <c r="G4">
        <v>167.4</v>
      </c>
      <c r="H4">
        <v>167.4</v>
      </c>
      <c r="I4">
        <v>166.93</v>
      </c>
      <c r="J4">
        <v>273.10000000000002</v>
      </c>
      <c r="K4">
        <v>165.16</v>
      </c>
      <c r="L4" t="s">
        <v>188</v>
      </c>
      <c r="M4" t="s">
        <v>189</v>
      </c>
      <c r="N4" s="3">
        <v>69199</v>
      </c>
      <c r="P4" s="27">
        <v>0</v>
      </c>
      <c r="T4" s="40" t="s">
        <v>224</v>
      </c>
    </row>
    <row r="5" spans="1:20" x14ac:dyDescent="0.2">
      <c r="A5" s="1">
        <v>46275</v>
      </c>
      <c r="B5" t="s">
        <v>14</v>
      </c>
      <c r="C5">
        <v>167.9</v>
      </c>
      <c r="D5">
        <v>169.19</v>
      </c>
      <c r="E5">
        <v>166</v>
      </c>
      <c r="F5">
        <v>167</v>
      </c>
      <c r="G5">
        <v>166.3</v>
      </c>
      <c r="H5">
        <v>166.3</v>
      </c>
      <c r="I5">
        <v>166.97</v>
      </c>
      <c r="J5">
        <v>273.10000000000002</v>
      </c>
      <c r="K5">
        <v>166</v>
      </c>
      <c r="L5" t="s">
        <v>190</v>
      </c>
      <c r="M5" t="s">
        <v>191</v>
      </c>
      <c r="N5" s="3">
        <v>77695</v>
      </c>
      <c r="P5" s="24">
        <f>(H5/H4)-1</f>
        <v>-6.5710872162484391E-3</v>
      </c>
      <c r="Q5" s="24">
        <f>_xlfn.STDEV.S(P5:P18)</f>
        <v>1.5466275646399793E-2</v>
      </c>
      <c r="R5" s="32">
        <f>AVERAGE(P5:P18)</f>
        <v>5.8289056988841126E-3</v>
      </c>
      <c r="S5" s="24">
        <f>(H18-H4)/H4</f>
        <v>8.3094384707287916E-2</v>
      </c>
      <c r="T5" s="39">
        <f>SLOPE(P5:P18,TECHM!R30:R43)</f>
        <v>0.12673388877636507</v>
      </c>
    </row>
    <row r="6" spans="1:20" x14ac:dyDescent="0.2">
      <c r="A6" s="1">
        <v>46274</v>
      </c>
      <c r="B6" t="s">
        <v>14</v>
      </c>
      <c r="C6">
        <v>168.7</v>
      </c>
      <c r="D6">
        <v>169.15</v>
      </c>
      <c r="E6">
        <v>166.37</v>
      </c>
      <c r="F6">
        <v>171.5</v>
      </c>
      <c r="G6">
        <v>167</v>
      </c>
      <c r="H6">
        <v>167</v>
      </c>
      <c r="I6">
        <v>167.71</v>
      </c>
      <c r="J6">
        <v>273.10000000000002</v>
      </c>
      <c r="K6">
        <v>166.37</v>
      </c>
      <c r="L6" t="s">
        <v>192</v>
      </c>
      <c r="M6" t="s">
        <v>193</v>
      </c>
      <c r="N6" t="s">
        <v>194</v>
      </c>
      <c r="P6" s="24">
        <f>(H6/H5)-1</f>
        <v>4.2092603728201006E-3</v>
      </c>
      <c r="T6" s="40" t="s">
        <v>225</v>
      </c>
    </row>
    <row r="7" spans="1:20" x14ac:dyDescent="0.2">
      <c r="A7" s="1">
        <v>46273</v>
      </c>
      <c r="B7" t="s">
        <v>14</v>
      </c>
      <c r="C7">
        <v>172.8</v>
      </c>
      <c r="D7">
        <v>172.9</v>
      </c>
      <c r="E7">
        <v>171.13</v>
      </c>
      <c r="F7">
        <v>172.8</v>
      </c>
      <c r="G7">
        <v>171.5</v>
      </c>
      <c r="H7">
        <v>171.5</v>
      </c>
      <c r="I7">
        <v>171.73</v>
      </c>
      <c r="J7">
        <v>273.10000000000002</v>
      </c>
      <c r="K7">
        <v>169</v>
      </c>
      <c r="L7" t="s">
        <v>195</v>
      </c>
      <c r="M7" t="s">
        <v>196</v>
      </c>
      <c r="N7" s="3">
        <v>70344</v>
      </c>
      <c r="P7" s="24">
        <f t="shared" ref="P7:P18" si="0">(H7/H6)-1</f>
        <v>2.6946107784431073E-2</v>
      </c>
      <c r="T7" s="39">
        <f>SLOPE(P5:P18,TECHM!R47:R60)</f>
        <v>0.29182438793550808</v>
      </c>
    </row>
    <row r="8" spans="1:20" x14ac:dyDescent="0.2">
      <c r="A8" s="1">
        <v>46272</v>
      </c>
      <c r="B8" t="s">
        <v>14</v>
      </c>
      <c r="C8">
        <v>175.89</v>
      </c>
      <c r="D8">
        <v>176.47</v>
      </c>
      <c r="E8">
        <v>172.65</v>
      </c>
      <c r="F8">
        <v>176.4</v>
      </c>
      <c r="G8">
        <v>172.8</v>
      </c>
      <c r="H8">
        <v>172.8</v>
      </c>
      <c r="I8">
        <v>173.62</v>
      </c>
      <c r="J8">
        <v>273.10000000000002</v>
      </c>
      <c r="K8">
        <v>169</v>
      </c>
      <c r="L8" t="s">
        <v>197</v>
      </c>
      <c r="M8" t="s">
        <v>198</v>
      </c>
      <c r="N8" t="s">
        <v>199</v>
      </c>
      <c r="P8" s="24">
        <f t="shared" si="0"/>
        <v>7.5801749271138252E-3</v>
      </c>
      <c r="T8" s="40" t="s">
        <v>226</v>
      </c>
    </row>
    <row r="9" spans="1:20" x14ac:dyDescent="0.2">
      <c r="A9" s="1">
        <v>46269</v>
      </c>
      <c r="B9" t="s">
        <v>14</v>
      </c>
      <c r="C9">
        <v>176.74</v>
      </c>
      <c r="D9">
        <v>178.75</v>
      </c>
      <c r="E9">
        <v>176.4</v>
      </c>
      <c r="F9">
        <v>175.72</v>
      </c>
      <c r="G9">
        <v>176.4</v>
      </c>
      <c r="H9">
        <v>176.4</v>
      </c>
      <c r="I9">
        <v>177.62</v>
      </c>
      <c r="J9">
        <v>273.10000000000002</v>
      </c>
      <c r="K9">
        <v>169</v>
      </c>
      <c r="L9" t="s">
        <v>200</v>
      </c>
      <c r="M9" t="s">
        <v>201</v>
      </c>
      <c r="N9" s="3">
        <v>48742</v>
      </c>
      <c r="P9" s="24">
        <f t="shared" si="0"/>
        <v>2.0833333333333259E-2</v>
      </c>
      <c r="T9" s="39">
        <f>SLOPE(P7:P18,TECHM!R65:R76)</f>
        <v>0.1774170890577122</v>
      </c>
    </row>
    <row r="10" spans="1:20" x14ac:dyDescent="0.2">
      <c r="A10" s="1">
        <v>46268</v>
      </c>
      <c r="B10" t="s">
        <v>14</v>
      </c>
      <c r="C10">
        <v>177.5</v>
      </c>
      <c r="D10">
        <v>178.04</v>
      </c>
      <c r="E10">
        <v>175.72</v>
      </c>
      <c r="F10">
        <v>177.09</v>
      </c>
      <c r="G10">
        <v>175.72</v>
      </c>
      <c r="H10">
        <v>175.72</v>
      </c>
      <c r="I10">
        <v>176.91</v>
      </c>
      <c r="J10">
        <v>273.10000000000002</v>
      </c>
      <c r="K10">
        <v>169</v>
      </c>
      <c r="L10" t="s">
        <v>202</v>
      </c>
      <c r="M10" t="s">
        <v>203</v>
      </c>
      <c r="N10" s="3">
        <v>52799</v>
      </c>
      <c r="P10" s="24">
        <f t="shared" si="0"/>
        <v>-3.8548752834467459E-3</v>
      </c>
    </row>
    <row r="11" spans="1:20" x14ac:dyDescent="0.2">
      <c r="A11" s="1">
        <v>46267</v>
      </c>
      <c r="B11" t="s">
        <v>14</v>
      </c>
      <c r="C11">
        <v>180</v>
      </c>
      <c r="D11">
        <v>180.39</v>
      </c>
      <c r="E11">
        <v>176.8</v>
      </c>
      <c r="F11">
        <v>181.7</v>
      </c>
      <c r="G11">
        <v>177.09</v>
      </c>
      <c r="H11">
        <v>177.09</v>
      </c>
      <c r="I11">
        <v>177.85</v>
      </c>
      <c r="J11">
        <v>273.10000000000002</v>
      </c>
      <c r="K11">
        <v>169</v>
      </c>
      <c r="L11" t="s">
        <v>204</v>
      </c>
      <c r="M11" t="s">
        <v>205</v>
      </c>
      <c r="N11" t="s">
        <v>206</v>
      </c>
      <c r="P11" s="24">
        <f t="shared" si="0"/>
        <v>7.7964944229456101E-3</v>
      </c>
    </row>
    <row r="12" spans="1:20" x14ac:dyDescent="0.2">
      <c r="A12" s="1">
        <v>46266</v>
      </c>
      <c r="B12" t="s">
        <v>14</v>
      </c>
      <c r="C12">
        <v>181</v>
      </c>
      <c r="D12">
        <v>182.1</v>
      </c>
      <c r="E12">
        <v>178.5</v>
      </c>
      <c r="F12">
        <v>184.5</v>
      </c>
      <c r="G12">
        <v>181.7</v>
      </c>
      <c r="H12">
        <v>181.7</v>
      </c>
      <c r="I12">
        <v>181.02</v>
      </c>
      <c r="J12">
        <v>273.10000000000002</v>
      </c>
      <c r="K12">
        <v>169</v>
      </c>
      <c r="L12" t="s">
        <v>207</v>
      </c>
      <c r="M12" t="s">
        <v>208</v>
      </c>
      <c r="N12" s="3">
        <v>58669</v>
      </c>
      <c r="P12" s="24">
        <f t="shared" si="0"/>
        <v>2.6031961149697747E-2</v>
      </c>
    </row>
    <row r="13" spans="1:20" x14ac:dyDescent="0.2">
      <c r="A13" s="1">
        <v>46265</v>
      </c>
      <c r="B13" t="s">
        <v>14</v>
      </c>
      <c r="C13">
        <v>180.17</v>
      </c>
      <c r="D13">
        <v>184.5</v>
      </c>
      <c r="E13">
        <v>176.17</v>
      </c>
      <c r="F13">
        <v>180.95</v>
      </c>
      <c r="G13">
        <v>184.5</v>
      </c>
      <c r="H13">
        <v>184.5</v>
      </c>
      <c r="I13">
        <v>180.81</v>
      </c>
      <c r="J13">
        <v>273.10000000000002</v>
      </c>
      <c r="K13">
        <v>169</v>
      </c>
      <c r="L13" t="s">
        <v>209</v>
      </c>
      <c r="M13" t="s">
        <v>210</v>
      </c>
      <c r="N13" s="3">
        <v>74522</v>
      </c>
      <c r="P13" s="24">
        <f t="shared" si="0"/>
        <v>1.5410016510732039E-2</v>
      </c>
    </row>
    <row r="14" spans="1:20" x14ac:dyDescent="0.2">
      <c r="A14" s="1">
        <v>46262</v>
      </c>
      <c r="B14" t="s">
        <v>14</v>
      </c>
      <c r="C14">
        <v>178.25</v>
      </c>
      <c r="D14">
        <v>181.85</v>
      </c>
      <c r="E14">
        <v>178.25</v>
      </c>
      <c r="F14">
        <v>176.4</v>
      </c>
      <c r="G14">
        <v>180.95</v>
      </c>
      <c r="H14">
        <v>180.95</v>
      </c>
      <c r="I14">
        <v>180.28</v>
      </c>
      <c r="J14">
        <v>273.10000000000002</v>
      </c>
      <c r="K14">
        <v>169</v>
      </c>
      <c r="L14" t="s">
        <v>211</v>
      </c>
      <c r="M14" t="s">
        <v>212</v>
      </c>
      <c r="N14" s="3">
        <v>78138</v>
      </c>
      <c r="P14" s="24">
        <f t="shared" si="0"/>
        <v>-1.9241192411924235E-2</v>
      </c>
    </row>
    <row r="15" spans="1:20" x14ac:dyDescent="0.2">
      <c r="A15" s="1">
        <v>46261</v>
      </c>
      <c r="B15" t="s">
        <v>14</v>
      </c>
      <c r="C15">
        <v>177.35</v>
      </c>
      <c r="D15">
        <v>178.7</v>
      </c>
      <c r="E15">
        <v>176.4</v>
      </c>
      <c r="F15">
        <v>177.35</v>
      </c>
      <c r="G15">
        <v>176.4</v>
      </c>
      <c r="H15">
        <v>176.4</v>
      </c>
      <c r="I15">
        <v>177.35</v>
      </c>
      <c r="J15">
        <v>273.10000000000002</v>
      </c>
      <c r="K15">
        <v>169</v>
      </c>
      <c r="L15" t="s">
        <v>213</v>
      </c>
      <c r="M15" t="s">
        <v>214</v>
      </c>
      <c r="N15" s="3">
        <v>54303</v>
      </c>
      <c r="P15" s="24">
        <f t="shared" si="0"/>
        <v>-2.5145067698259083E-2</v>
      </c>
    </row>
    <row r="16" spans="1:20" x14ac:dyDescent="0.2">
      <c r="A16" s="1">
        <v>46260</v>
      </c>
      <c r="B16" t="s">
        <v>14</v>
      </c>
      <c r="C16">
        <v>180.09</v>
      </c>
      <c r="D16">
        <v>180.95</v>
      </c>
      <c r="E16">
        <v>176.66</v>
      </c>
      <c r="F16">
        <v>180.09</v>
      </c>
      <c r="G16">
        <v>177.35</v>
      </c>
      <c r="H16">
        <v>177.35</v>
      </c>
      <c r="I16">
        <v>178.27</v>
      </c>
      <c r="J16">
        <v>273.10000000000002</v>
      </c>
      <c r="K16">
        <v>169</v>
      </c>
      <c r="L16" t="s">
        <v>215</v>
      </c>
      <c r="M16" t="s">
        <v>216</v>
      </c>
      <c r="N16" s="3">
        <v>67256</v>
      </c>
      <c r="P16" s="24">
        <f t="shared" si="0"/>
        <v>5.3854875283445569E-3</v>
      </c>
    </row>
    <row r="17" spans="1:16" x14ac:dyDescent="0.2">
      <c r="A17" s="1">
        <v>46259</v>
      </c>
      <c r="B17" t="s">
        <v>14</v>
      </c>
      <c r="C17">
        <v>181.29</v>
      </c>
      <c r="D17">
        <v>181.29</v>
      </c>
      <c r="E17">
        <v>178.39</v>
      </c>
      <c r="F17">
        <v>181.31</v>
      </c>
      <c r="G17">
        <v>180.09</v>
      </c>
      <c r="H17">
        <v>180.09</v>
      </c>
      <c r="I17">
        <v>179.67</v>
      </c>
      <c r="J17">
        <v>273.10000000000002</v>
      </c>
      <c r="K17">
        <v>169</v>
      </c>
      <c r="L17" t="s">
        <v>217</v>
      </c>
      <c r="M17" t="s">
        <v>218</v>
      </c>
      <c r="N17" s="3">
        <v>61275</v>
      </c>
      <c r="P17" s="24">
        <f t="shared" si="0"/>
        <v>1.5449675782351235E-2</v>
      </c>
    </row>
    <row r="18" spans="1:16" x14ac:dyDescent="0.2">
      <c r="A18" s="1">
        <v>46258</v>
      </c>
      <c r="B18" t="s">
        <v>14</v>
      </c>
      <c r="C18">
        <v>181</v>
      </c>
      <c r="D18">
        <v>183.92</v>
      </c>
      <c r="E18">
        <v>180.56</v>
      </c>
      <c r="F18">
        <v>180.79</v>
      </c>
      <c r="G18">
        <v>181.31</v>
      </c>
      <c r="H18">
        <v>181.31</v>
      </c>
      <c r="I18">
        <v>181.96</v>
      </c>
      <c r="J18">
        <v>273.10000000000002</v>
      </c>
      <c r="K18">
        <v>169</v>
      </c>
      <c r="L18" t="s">
        <v>219</v>
      </c>
      <c r="M18" t="s">
        <v>220</v>
      </c>
      <c r="N18" s="3">
        <v>83122</v>
      </c>
      <c r="P18" s="24">
        <f t="shared" si="0"/>
        <v>6.7743905824866335E-3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4EB0D-8EF2-914E-B42E-1F7423D9A283}">
  <dimension ref="A1:T18"/>
  <sheetViews>
    <sheetView showGridLines="0" workbookViewId="0">
      <selection activeCell="P27" sqref="P27"/>
    </sheetView>
  </sheetViews>
  <sheetFormatPr baseColWidth="10" defaultRowHeight="16" x14ac:dyDescent="0.2"/>
  <cols>
    <col min="15" max="15" width="14.33203125" bestFit="1" customWidth="1"/>
    <col min="16" max="16" width="19" bestFit="1" customWidth="1"/>
    <col min="17" max="17" width="19.6640625" bestFit="1" customWidth="1"/>
    <col min="18" max="18" width="14.5" bestFit="1" customWidth="1"/>
    <col min="19" max="19" width="20.1640625" bestFit="1" customWidth="1"/>
    <col min="20" max="20" width="16.83203125" bestFit="1" customWidth="1"/>
  </cols>
  <sheetData>
    <row r="1" spans="1:20" ht="19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P1" s="4"/>
      <c r="Q1" s="4"/>
      <c r="R1" s="4"/>
      <c r="S1" s="4"/>
      <c r="T1" s="4" t="s">
        <v>39</v>
      </c>
    </row>
    <row r="2" spans="1:20" ht="19" x14ac:dyDescent="0.25">
      <c r="A2" s="5"/>
      <c r="B2" s="5"/>
      <c r="C2" s="5"/>
      <c r="D2" s="5"/>
      <c r="E2" s="8" t="s">
        <v>221</v>
      </c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4"/>
      <c r="R2" s="4"/>
      <c r="S2" s="4"/>
      <c r="T2" s="4"/>
    </row>
    <row r="3" spans="1:20" ht="19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/>
      <c r="P3" s="5" t="s">
        <v>38</v>
      </c>
      <c r="Q3" s="5" t="s">
        <v>52</v>
      </c>
      <c r="R3" s="5" t="s">
        <v>40</v>
      </c>
      <c r="S3" s="5" t="s">
        <v>51</v>
      </c>
      <c r="T3" s="5" t="s">
        <v>53</v>
      </c>
    </row>
    <row r="4" spans="1:20" x14ac:dyDescent="0.2">
      <c r="A4" s="1">
        <v>46276</v>
      </c>
      <c r="B4" t="s">
        <v>14</v>
      </c>
      <c r="C4" s="2">
        <v>1032</v>
      </c>
      <c r="D4" s="2">
        <v>1047.3</v>
      </c>
      <c r="E4" s="2">
        <v>1029.7</v>
      </c>
      <c r="F4" s="2">
        <v>1036.5</v>
      </c>
      <c r="G4" s="2">
        <v>1037.7</v>
      </c>
      <c r="H4" s="2">
        <v>1037.7</v>
      </c>
      <c r="I4" s="2">
        <v>1039.69</v>
      </c>
      <c r="J4" s="2">
        <v>1728</v>
      </c>
      <c r="K4">
        <v>982.4</v>
      </c>
      <c r="L4" t="s">
        <v>144</v>
      </c>
      <c r="M4" t="s">
        <v>145</v>
      </c>
      <c r="N4" t="s">
        <v>146</v>
      </c>
      <c r="P4" s="27">
        <v>0</v>
      </c>
      <c r="T4" s="27" t="s">
        <v>224</v>
      </c>
    </row>
    <row r="5" spans="1:20" x14ac:dyDescent="0.2">
      <c r="A5" s="1">
        <v>46275</v>
      </c>
      <c r="B5" t="s">
        <v>14</v>
      </c>
      <c r="C5" s="2">
        <v>1039.5999999999999</v>
      </c>
      <c r="D5" s="2">
        <v>1046.5999999999999</v>
      </c>
      <c r="E5" s="2">
        <v>1027.3</v>
      </c>
      <c r="F5" s="2">
        <v>1035</v>
      </c>
      <c r="G5" s="2">
        <v>1036.5</v>
      </c>
      <c r="H5" s="2">
        <v>1036.5</v>
      </c>
      <c r="I5" s="2">
        <v>1035.0899999999999</v>
      </c>
      <c r="J5" s="2">
        <v>1728</v>
      </c>
      <c r="K5">
        <v>982.4</v>
      </c>
      <c r="L5" t="s">
        <v>147</v>
      </c>
      <c r="M5" t="s">
        <v>148</v>
      </c>
      <c r="N5" t="s">
        <v>149</v>
      </c>
      <c r="P5" s="24">
        <f>(H5/H4)-1</f>
        <v>-1.15640358485114E-3</v>
      </c>
      <c r="Q5" s="24">
        <f>_xlfn.STDEV.S(P5:P18)</f>
        <v>2.0199971705216653E-2</v>
      </c>
      <c r="R5" s="32">
        <f>AVERAGE(P5:P18)</f>
        <v>6.2926675001239484E-3</v>
      </c>
      <c r="S5" s="24">
        <f>(H18-H4)/H4</f>
        <v>8.8946709068131402E-2</v>
      </c>
      <c r="T5" s="39">
        <f>SLOPE(P5:P18,TECHM!R30:R43)</f>
        <v>0.61173236349654159</v>
      </c>
    </row>
    <row r="6" spans="1:20" x14ac:dyDescent="0.2">
      <c r="A6" s="1">
        <v>46274</v>
      </c>
      <c r="B6" t="s">
        <v>14</v>
      </c>
      <c r="C6" s="2">
        <v>1059</v>
      </c>
      <c r="D6" s="2">
        <v>1059</v>
      </c>
      <c r="E6" s="2">
        <v>1026.5</v>
      </c>
      <c r="F6" s="2">
        <v>1082</v>
      </c>
      <c r="G6" s="2">
        <v>1035</v>
      </c>
      <c r="H6" s="2">
        <v>1035</v>
      </c>
      <c r="I6" s="2">
        <v>1038.28</v>
      </c>
      <c r="J6" s="2">
        <v>1728</v>
      </c>
      <c r="K6">
        <v>982.4</v>
      </c>
      <c r="L6" t="s">
        <v>150</v>
      </c>
      <c r="M6" t="s">
        <v>151</v>
      </c>
      <c r="N6" t="s">
        <v>152</v>
      </c>
      <c r="P6" s="24">
        <f>(H6/H5)-1</f>
        <v>-1.4471780028944004E-3</v>
      </c>
      <c r="T6" s="40" t="s">
        <v>225</v>
      </c>
    </row>
    <row r="7" spans="1:20" x14ac:dyDescent="0.2">
      <c r="A7" s="1">
        <v>46273</v>
      </c>
      <c r="B7" t="s">
        <v>14</v>
      </c>
      <c r="C7" s="2">
        <v>1095</v>
      </c>
      <c r="D7" s="2">
        <v>1095</v>
      </c>
      <c r="E7" s="2">
        <v>1078.9000000000001</v>
      </c>
      <c r="F7" s="2">
        <v>1087.5</v>
      </c>
      <c r="G7" s="2">
        <v>1082</v>
      </c>
      <c r="H7" s="2">
        <v>1082</v>
      </c>
      <c r="I7" s="2">
        <v>1084.29</v>
      </c>
      <c r="J7" s="2">
        <v>1728</v>
      </c>
      <c r="K7">
        <v>982.4</v>
      </c>
      <c r="L7" t="s">
        <v>153</v>
      </c>
      <c r="M7" t="s">
        <v>154</v>
      </c>
      <c r="N7" t="s">
        <v>155</v>
      </c>
      <c r="P7" s="24">
        <f t="shared" ref="P7:P18" si="0">(H7/H6)-1</f>
        <v>4.5410628019323607E-2</v>
      </c>
      <c r="T7" s="39">
        <f>SLOPE(P5:P18,TECHM!R47:R60)</f>
        <v>0.75295643749444641</v>
      </c>
    </row>
    <row r="8" spans="1:20" x14ac:dyDescent="0.2">
      <c r="A8" s="1">
        <v>46272</v>
      </c>
      <c r="B8" t="s">
        <v>14</v>
      </c>
      <c r="C8" s="2">
        <v>1109.5</v>
      </c>
      <c r="D8" s="2">
        <v>1109.9000000000001</v>
      </c>
      <c r="E8" s="2">
        <v>1085</v>
      </c>
      <c r="F8" s="2">
        <v>1130</v>
      </c>
      <c r="G8" s="2">
        <v>1087.5</v>
      </c>
      <c r="H8" s="2">
        <v>1087.5</v>
      </c>
      <c r="I8" s="2">
        <v>1094.17</v>
      </c>
      <c r="J8" s="2">
        <v>1728</v>
      </c>
      <c r="K8">
        <v>982.4</v>
      </c>
      <c r="L8" t="s">
        <v>156</v>
      </c>
      <c r="M8" t="s">
        <v>157</v>
      </c>
      <c r="N8" t="s">
        <v>158</v>
      </c>
      <c r="P8" s="24">
        <f t="shared" si="0"/>
        <v>5.0831792975969403E-3</v>
      </c>
      <c r="T8" s="40" t="s">
        <v>226</v>
      </c>
    </row>
    <row r="9" spans="1:20" x14ac:dyDescent="0.2">
      <c r="A9" s="1">
        <v>46269</v>
      </c>
      <c r="B9" t="s">
        <v>14</v>
      </c>
      <c r="C9" s="2">
        <v>1133</v>
      </c>
      <c r="D9" s="2">
        <v>1146.7</v>
      </c>
      <c r="E9" s="2">
        <v>1125.4000000000001</v>
      </c>
      <c r="F9" s="2">
        <v>1130.3</v>
      </c>
      <c r="G9" s="2">
        <v>1130</v>
      </c>
      <c r="H9" s="2">
        <v>1130</v>
      </c>
      <c r="I9" s="2">
        <v>1132.0899999999999</v>
      </c>
      <c r="J9" s="2">
        <v>1728</v>
      </c>
      <c r="K9">
        <v>982.4</v>
      </c>
      <c r="L9" t="s">
        <v>159</v>
      </c>
      <c r="M9" t="s">
        <v>160</v>
      </c>
      <c r="N9" t="s">
        <v>161</v>
      </c>
      <c r="P9" s="24">
        <f t="shared" si="0"/>
        <v>3.9080459770114873E-2</v>
      </c>
      <c r="T9" s="39">
        <f>SLOPE(P7:P18,TECHM!R65:R76)</f>
        <v>1.1662689056177564</v>
      </c>
    </row>
    <row r="10" spans="1:20" x14ac:dyDescent="0.2">
      <c r="A10" s="1">
        <v>46268</v>
      </c>
      <c r="B10" t="s">
        <v>14</v>
      </c>
      <c r="C10" s="2">
        <v>1144</v>
      </c>
      <c r="D10" s="2">
        <v>1144</v>
      </c>
      <c r="E10" s="2">
        <v>1122.5</v>
      </c>
      <c r="F10" s="2">
        <v>1140</v>
      </c>
      <c r="G10" s="2">
        <v>1130.3</v>
      </c>
      <c r="H10" s="2">
        <v>1130.3</v>
      </c>
      <c r="I10" s="2">
        <v>1130.5999999999999</v>
      </c>
      <c r="J10" s="2">
        <v>1728</v>
      </c>
      <c r="K10">
        <v>982.4</v>
      </c>
      <c r="L10" t="s">
        <v>162</v>
      </c>
      <c r="M10" t="s">
        <v>163</v>
      </c>
      <c r="N10" t="s">
        <v>164</v>
      </c>
      <c r="P10" s="24">
        <f t="shared" si="0"/>
        <v>2.6548672566373277E-4</v>
      </c>
    </row>
    <row r="11" spans="1:20" x14ac:dyDescent="0.2">
      <c r="A11" s="1">
        <v>46267</v>
      </c>
      <c r="B11" t="s">
        <v>14</v>
      </c>
      <c r="C11" s="2">
        <v>1137.7</v>
      </c>
      <c r="D11" s="2">
        <v>1147.8</v>
      </c>
      <c r="E11" s="2">
        <v>1118.5999999999999</v>
      </c>
      <c r="F11" s="2">
        <v>1156</v>
      </c>
      <c r="G11" s="2">
        <v>1140</v>
      </c>
      <c r="H11" s="2">
        <v>1140</v>
      </c>
      <c r="I11" s="2">
        <v>1134.99</v>
      </c>
      <c r="J11" s="2">
        <v>1728</v>
      </c>
      <c r="K11">
        <v>982.4</v>
      </c>
      <c r="L11" t="s">
        <v>165</v>
      </c>
      <c r="M11" t="s">
        <v>166</v>
      </c>
      <c r="N11" t="s">
        <v>167</v>
      </c>
      <c r="P11" s="24">
        <f t="shared" si="0"/>
        <v>8.5817924444837601E-3</v>
      </c>
    </row>
    <row r="12" spans="1:20" x14ac:dyDescent="0.2">
      <c r="A12" s="1">
        <v>46266</v>
      </c>
      <c r="B12" t="s">
        <v>14</v>
      </c>
      <c r="C12" s="2">
        <v>1128</v>
      </c>
      <c r="D12" s="2">
        <v>1156</v>
      </c>
      <c r="E12" s="2">
        <v>1125.5999999999999</v>
      </c>
      <c r="F12" s="2">
        <v>1133.8</v>
      </c>
      <c r="G12" s="2">
        <v>1156</v>
      </c>
      <c r="H12" s="2">
        <v>1156</v>
      </c>
      <c r="I12" s="2">
        <v>1145.4000000000001</v>
      </c>
      <c r="J12" s="2">
        <v>1728</v>
      </c>
      <c r="K12">
        <v>982.4</v>
      </c>
      <c r="L12" t="s">
        <v>168</v>
      </c>
      <c r="M12" t="s">
        <v>169</v>
      </c>
      <c r="N12" t="s">
        <v>170</v>
      </c>
      <c r="P12" s="24">
        <f t="shared" si="0"/>
        <v>1.4035087719298289E-2</v>
      </c>
    </row>
    <row r="13" spans="1:20" x14ac:dyDescent="0.2">
      <c r="A13" s="1">
        <v>46265</v>
      </c>
      <c r="B13" t="s">
        <v>14</v>
      </c>
      <c r="C13" s="2">
        <v>1138.5999999999999</v>
      </c>
      <c r="D13" s="2">
        <v>1143.9000000000001</v>
      </c>
      <c r="E13" s="2">
        <v>1111.0999999999999</v>
      </c>
      <c r="F13" s="2">
        <v>1144</v>
      </c>
      <c r="G13" s="2">
        <v>1133.8</v>
      </c>
      <c r="H13" s="2">
        <v>1133.8</v>
      </c>
      <c r="I13" s="2">
        <v>1125.02</v>
      </c>
      <c r="J13" s="2">
        <v>1728</v>
      </c>
      <c r="K13">
        <v>982.4</v>
      </c>
      <c r="L13" t="s">
        <v>171</v>
      </c>
      <c r="M13" t="s">
        <v>172</v>
      </c>
      <c r="N13" t="s">
        <v>173</v>
      </c>
      <c r="P13" s="24">
        <f t="shared" si="0"/>
        <v>-1.9204152249134965E-2</v>
      </c>
    </row>
    <row r="14" spans="1:20" x14ac:dyDescent="0.2">
      <c r="A14" s="1">
        <v>46262</v>
      </c>
      <c r="B14" t="s">
        <v>14</v>
      </c>
      <c r="C14" s="2">
        <v>1123.5999999999999</v>
      </c>
      <c r="D14" s="2">
        <v>1145</v>
      </c>
      <c r="E14" s="2">
        <v>1123.3</v>
      </c>
      <c r="F14" s="2">
        <v>1110.8</v>
      </c>
      <c r="G14" s="2">
        <v>1144</v>
      </c>
      <c r="H14" s="2">
        <v>1144</v>
      </c>
      <c r="I14" s="2">
        <v>1139.3800000000001</v>
      </c>
      <c r="J14" s="2">
        <v>1728</v>
      </c>
      <c r="K14">
        <v>982.4</v>
      </c>
      <c r="L14" t="s">
        <v>174</v>
      </c>
      <c r="M14" t="s">
        <v>175</v>
      </c>
      <c r="N14" t="s">
        <v>176</v>
      </c>
      <c r="P14" s="24">
        <f t="shared" si="0"/>
        <v>8.9962956429705532E-3</v>
      </c>
    </row>
    <row r="15" spans="1:20" x14ac:dyDescent="0.2">
      <c r="A15" s="1">
        <v>46261</v>
      </c>
      <c r="B15" t="s">
        <v>14</v>
      </c>
      <c r="C15" s="2">
        <v>1120</v>
      </c>
      <c r="D15" s="2">
        <v>1130.7</v>
      </c>
      <c r="E15" s="2">
        <v>1107.2</v>
      </c>
      <c r="F15" s="2">
        <v>1120</v>
      </c>
      <c r="G15" s="2">
        <v>1110.8</v>
      </c>
      <c r="H15" s="2">
        <v>1110.8</v>
      </c>
      <c r="I15" s="2">
        <v>1112.52</v>
      </c>
      <c r="J15" s="2">
        <v>1728</v>
      </c>
      <c r="K15">
        <v>982.4</v>
      </c>
      <c r="L15" t="s">
        <v>177</v>
      </c>
      <c r="M15" t="s">
        <v>178</v>
      </c>
      <c r="N15" t="s">
        <v>179</v>
      </c>
      <c r="P15" s="24">
        <f t="shared" si="0"/>
        <v>-2.902097902097911E-2</v>
      </c>
    </row>
    <row r="16" spans="1:20" x14ac:dyDescent="0.2">
      <c r="A16" s="1">
        <v>46260</v>
      </c>
      <c r="B16" t="s">
        <v>14</v>
      </c>
      <c r="C16" s="2">
        <v>1142</v>
      </c>
      <c r="D16" s="2">
        <v>1142</v>
      </c>
      <c r="E16" s="2">
        <v>1118.3</v>
      </c>
      <c r="F16" s="2">
        <v>1144</v>
      </c>
      <c r="G16" s="2">
        <v>1120</v>
      </c>
      <c r="H16" s="2">
        <v>1120</v>
      </c>
      <c r="I16" s="2">
        <v>1125.69</v>
      </c>
      <c r="J16" s="2">
        <v>1728</v>
      </c>
      <c r="K16">
        <v>982.4</v>
      </c>
      <c r="L16" t="s">
        <v>180</v>
      </c>
      <c r="M16" t="s">
        <v>181</v>
      </c>
      <c r="N16" s="3">
        <v>88562</v>
      </c>
      <c r="P16" s="24">
        <f t="shared" si="0"/>
        <v>8.2823190493339638E-3</v>
      </c>
    </row>
    <row r="17" spans="1:16" x14ac:dyDescent="0.2">
      <c r="A17" s="1">
        <v>46259</v>
      </c>
      <c r="B17" t="s">
        <v>14</v>
      </c>
      <c r="C17" s="2">
        <v>1132</v>
      </c>
      <c r="D17" s="2">
        <v>1144</v>
      </c>
      <c r="E17" s="2">
        <v>1119.9000000000001</v>
      </c>
      <c r="F17" s="2">
        <v>1130</v>
      </c>
      <c r="G17" s="2">
        <v>1144</v>
      </c>
      <c r="H17" s="2">
        <v>1144</v>
      </c>
      <c r="I17" s="2">
        <v>1126.97</v>
      </c>
      <c r="J17" s="2">
        <v>1728</v>
      </c>
      <c r="K17">
        <v>982.4</v>
      </c>
      <c r="L17" t="s">
        <v>182</v>
      </c>
      <c r="M17" t="s">
        <v>183</v>
      </c>
      <c r="N17" t="s">
        <v>184</v>
      </c>
      <c r="P17" s="24">
        <f t="shared" si="0"/>
        <v>2.1428571428571352E-2</v>
      </c>
    </row>
    <row r="18" spans="1:16" x14ac:dyDescent="0.2">
      <c r="A18" s="1">
        <v>46258</v>
      </c>
      <c r="B18" t="s">
        <v>14</v>
      </c>
      <c r="C18" s="2">
        <v>1126.5</v>
      </c>
      <c r="D18" s="2">
        <v>1144.5</v>
      </c>
      <c r="E18" s="2">
        <v>1122</v>
      </c>
      <c r="F18" s="2">
        <v>1121</v>
      </c>
      <c r="G18" s="2">
        <v>1130</v>
      </c>
      <c r="H18" s="2">
        <v>1130</v>
      </c>
      <c r="I18" s="2">
        <v>1133.1600000000001</v>
      </c>
      <c r="J18" s="2">
        <v>1728</v>
      </c>
      <c r="K18">
        <v>982.4</v>
      </c>
      <c r="L18" t="s">
        <v>185</v>
      </c>
      <c r="M18" t="s">
        <v>186</v>
      </c>
      <c r="N18" t="s">
        <v>187</v>
      </c>
      <c r="P18" s="24">
        <f t="shared" si="0"/>
        <v>-1.2237762237762184E-2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00B03-F8D1-3C47-B35D-51FEA12E46F1}">
  <dimension ref="A1:F11"/>
  <sheetViews>
    <sheetView showGridLines="0" tabSelected="1" zoomScaleNormal="100" workbookViewId="0">
      <selection activeCell="M29" sqref="M29"/>
    </sheetView>
  </sheetViews>
  <sheetFormatPr baseColWidth="10" defaultRowHeight="16" x14ac:dyDescent="0.2"/>
  <cols>
    <col min="1" max="1" width="17.83203125" bestFit="1" customWidth="1"/>
    <col min="2" max="2" width="19.6640625" bestFit="1" customWidth="1"/>
    <col min="3" max="3" width="14.5" bestFit="1" customWidth="1"/>
    <col min="4" max="4" width="20.1640625" bestFit="1" customWidth="1"/>
    <col min="5" max="5" width="16.83203125" bestFit="1" customWidth="1"/>
  </cols>
  <sheetData>
    <row r="1" spans="1:6" x14ac:dyDescent="0.2">
      <c r="A1" s="33"/>
      <c r="B1" s="12"/>
      <c r="C1" s="12"/>
      <c r="D1" s="12"/>
      <c r="E1" s="12"/>
    </row>
    <row r="2" spans="1:6" ht="19" x14ac:dyDescent="0.25">
      <c r="A2" s="34"/>
      <c r="B2" s="5" t="s">
        <v>52</v>
      </c>
      <c r="C2" s="5" t="s">
        <v>40</v>
      </c>
      <c r="D2" s="5" t="s">
        <v>51</v>
      </c>
      <c r="E2" s="5" t="s">
        <v>53</v>
      </c>
    </row>
    <row r="3" spans="1:6" ht="19" x14ac:dyDescent="0.25">
      <c r="A3" s="5" t="s">
        <v>227</v>
      </c>
      <c r="B3" s="10">
        <f>TECHM!R9</f>
        <v>1.6644223282096058E-2</v>
      </c>
      <c r="C3" s="10">
        <f>TECHM!S9</f>
        <v>1.965704685068877E-3</v>
      </c>
      <c r="D3" s="10">
        <f>TECHM!T9</f>
        <v>2.7903958468526932E-2</v>
      </c>
      <c r="E3" s="37">
        <f>TECHM!U9</f>
        <v>-0.81398851583841347</v>
      </c>
    </row>
    <row r="4" spans="1:6" ht="19" x14ac:dyDescent="0.25">
      <c r="A4" s="5" t="s">
        <v>228</v>
      </c>
      <c r="B4" s="36">
        <f>TCS!Q6</f>
        <v>1.6369050288233721E-2</v>
      </c>
      <c r="C4" s="36">
        <f>TCS!R6</f>
        <v>2.7833391335286362E-3</v>
      </c>
      <c r="D4" s="36">
        <f>TCS!S6</f>
        <v>3.7849872773536769E-2</v>
      </c>
      <c r="E4" s="38">
        <f>TCS!T6</f>
        <v>0.57311926537789837</v>
      </c>
    </row>
    <row r="5" spans="1:6" ht="19" x14ac:dyDescent="0.25">
      <c r="A5" s="5" t="s">
        <v>229</v>
      </c>
      <c r="B5" s="36">
        <f>Wipro!Q5</f>
        <v>1.5466275646399793E-2</v>
      </c>
      <c r="C5" s="36">
        <f>Wipro!R5</f>
        <v>5.8289056988841126E-3</v>
      </c>
      <c r="D5" s="36">
        <f>Wipro!S5</f>
        <v>8.3094384707287916E-2</v>
      </c>
      <c r="E5" s="38">
        <f>Wipro!T5</f>
        <v>0.12673388877636507</v>
      </c>
    </row>
    <row r="6" spans="1:6" ht="19" x14ac:dyDescent="0.25">
      <c r="A6" s="5" t="s">
        <v>230</v>
      </c>
      <c r="B6" s="36">
        <f>Infosys!Q5</f>
        <v>2.0199971705216653E-2</v>
      </c>
      <c r="C6" s="36">
        <f>Infosys!R5</f>
        <v>6.2926675001239484E-3</v>
      </c>
      <c r="D6" s="36">
        <f>Infosys!S5</f>
        <v>8.8946709068131402E-2</v>
      </c>
      <c r="E6" s="38">
        <f>Infosys!T5</f>
        <v>0.61173236349654159</v>
      </c>
    </row>
    <row r="7" spans="1:6" ht="19" x14ac:dyDescent="0.25">
      <c r="A7" s="35"/>
    </row>
    <row r="11" spans="1:6" x14ac:dyDescent="0.2">
      <c r="F11">
        <f>TECHM!V17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TECHM</vt:lpstr>
      <vt:lpstr>TCS</vt:lpstr>
      <vt:lpstr>Wipro</vt:lpstr>
      <vt:lpstr>Infosys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Verma</cp:lastModifiedBy>
  <dcterms:created xsi:type="dcterms:W3CDTF">2026-09-04T12:29:13Z</dcterms:created>
  <dcterms:modified xsi:type="dcterms:W3CDTF">2026-09-17T06:44:34Z</dcterms:modified>
</cp:coreProperties>
</file>